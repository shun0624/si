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共通設定" sheetId="2" state="visible" r:id="rId2"/>
    <sheet name="キャラ" sheetId="3" state="visible" r:id="rId3"/>
    <sheet name="コマ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コマ表の使い方</t>
        </is>
      </c>
    </row>
    <row r="2">
      <c r="A2" t="inlineStr"/>
    </row>
    <row r="3">
      <c r="A3" t="inlineStr">
        <is>
          <t>1. 「キャラ」シートに、キャラの名前・呼び出し名・見た目の特徴・LoRAのファイル名を書く</t>
        </is>
      </c>
    </row>
    <row r="4">
      <c r="A4" t="inlineStr">
        <is>
          <t>2. 「コマ表」シートに、ページ・コマ番号・出るキャラ・表情・場所などを書く（黄色い列）</t>
        </is>
      </c>
    </row>
    <row r="5">
      <c r="A5" t="inlineStr">
        <is>
          <t>3. 緑の列（指示文・保存名・使うLoRA）が自動でできる</t>
        </is>
      </c>
    </row>
    <row r="6">
      <c r="A6" t="inlineStr">
        <is>
          <t>4. ComfyUIで「指示文」を「指示文」欄に、「保存名」を「保存名」欄に貼る</t>
        </is>
      </c>
    </row>
    <row r="7">
      <c r="A7" t="inlineStr">
        <is>
          <t>5. 「使うLoRA」に出ているLoRAをオンにして実行する</t>
        </is>
      </c>
    </row>
    <row r="8">
      <c r="A8" t="inlineStr">
        <is>
          <t>6. 選んだ画像のファイル名を「採用した画像」に書いておく</t>
        </is>
      </c>
    </row>
    <row r="9">
      <c r="A9" t="inlineStr"/>
    </row>
    <row r="10">
      <c r="A10" t="inlineStr">
        <is>
          <t>・ページは、ネーム画像のファイル名と同じにする（p1.png なら p1）</t>
        </is>
      </c>
    </row>
    <row r="11">
      <c r="A11" t="inlineStr">
        <is>
          <t>・コマ番号は、コマ切り出しツールの確認用画像の番号と同じにする</t>
        </is>
      </c>
    </row>
    <row r="12">
      <c r="A12" t="inlineStr">
        <is>
          <t>・表情や場所は英語の短い単語をカンマで区切って書く（例: smile, looking at viewer）</t>
        </is>
      </c>
    </row>
    <row r="13">
      <c r="A13" t="inlineStr">
        <is>
          <t>・「共通設定」シートの画質タグは全部のコマに付く</t>
        </is>
      </c>
    </row>
    <row r="14">
      <c r="A14" t="inlineStr">
        <is>
          <t>・キャラの特徴には人数（1girl など）を書かない（人数はコマ表の「人数タグ」に書く）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項目</t>
        </is>
      </c>
      <c r="B1" s="2" t="inlineStr">
        <is>
          <t>内容</t>
        </is>
      </c>
    </row>
    <row r="2">
      <c r="A2" t="inlineStr">
        <is>
          <t>画質タグ</t>
        </is>
      </c>
      <c r="B2" s="3" t="inlineStr">
        <is>
          <t>masterpiece, best quality, amazing quality, monochrome, greyscale, manga, lineart, screentone</t>
        </is>
      </c>
    </row>
    <row r="3">
      <c r="A3" t="inlineStr">
        <is>
          <t>描かせないもの</t>
        </is>
      </c>
      <c r="B3" s="3" t="inlineStr">
        <is>
          <t>bad quality, worst quality, worst detail, lowres, bad anatomy, bad hands, censor, signature, watermark, username, text, speech bubble, frame, border, color</t>
        </is>
      </c>
    </row>
    <row r="4">
      <c r="A4" t="inlineStr">
        <is>
          <t>保存フォルダ</t>
        </is>
      </c>
      <c r="B4" s="3" t="inlineStr">
        <is>
          <t>manga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30" customWidth="1" min="4" max="4"/>
    <col width="12" customWidth="1" min="5" max="5"/>
  </cols>
  <sheetData>
    <row r="1">
      <c r="A1" s="2" t="inlineStr">
        <is>
          <t>キャラ名</t>
        </is>
      </c>
      <c r="B1" s="2" t="inlineStr">
        <is>
          <t>呼び出し名（LoRAのトリガー）</t>
        </is>
      </c>
      <c r="C1" s="2" t="inlineStr">
        <is>
          <t>見た目の特徴（英語タグ）</t>
        </is>
      </c>
      <c r="D1" s="2" t="inlineStr">
        <is>
          <t>LoRAファイル名</t>
        </is>
      </c>
      <c r="E1" s="2" t="inlineStr">
        <is>
          <t>LoRAの強さ</t>
        </is>
      </c>
    </row>
    <row r="2">
      <c r="A2" s="3" t="inlineStr">
        <is>
          <t>あかね</t>
        </is>
      </c>
      <c r="B2" s="3" t="inlineStr">
        <is>
          <t>akane01</t>
        </is>
      </c>
      <c r="C2" s="3" t="inlineStr">
        <is>
          <t>short black hair, bob cut, red eyes, hair clip, school uniform, red ribbon</t>
        </is>
      </c>
      <c r="D2" s="3" t="inlineStr">
        <is>
          <t>akane01.safetensors</t>
        </is>
      </c>
      <c r="E2" s="3" t="n">
        <v>0.9</v>
      </c>
    </row>
    <row r="3">
      <c r="A3" s="3" t="inlineStr">
        <is>
          <t>そうた</t>
        </is>
      </c>
      <c r="B3" s="3" t="inlineStr">
        <is>
          <t>souta01</t>
        </is>
      </c>
      <c r="C3" s="3" t="inlineStr">
        <is>
          <t>messy brown hair, glasses, gakuran</t>
        </is>
      </c>
      <c r="D3" s="3" t="inlineStr">
        <is>
          <t>souta01.safetensors</t>
        </is>
      </c>
      <c r="E3" s="3" t="n">
        <v>0.9</v>
      </c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2" customWidth="1" min="4" max="4"/>
    <col width="14" customWidth="1" min="5" max="5"/>
    <col width="30" customWidth="1" min="6" max="6"/>
    <col width="24" customWidth="1" min="7" max="7"/>
    <col width="22" customWidth="1" min="8" max="8"/>
    <col width="22" customWidth="1" min="9" max="9"/>
    <col width="70" customWidth="1" min="10" max="10"/>
    <col width="18" customWidth="1" min="11" max="11"/>
    <col width="30" customWidth="1" min="12" max="12"/>
    <col width="26" customWidth="1" min="13" max="13"/>
    <col width="24" customWidth="1" min="14" max="14"/>
  </cols>
  <sheetData>
    <row r="1">
      <c r="A1" s="2" t="inlineStr">
        <is>
          <t>ページ</t>
        </is>
      </c>
      <c r="B1" s="2" t="inlineStr">
        <is>
          <t>コマ</t>
        </is>
      </c>
      <c r="C1" s="2" t="inlineStr">
        <is>
          <t>キャラ1</t>
        </is>
      </c>
      <c r="D1" s="2" t="inlineStr">
        <is>
          <t>キャラ2</t>
        </is>
      </c>
      <c r="E1" s="2" t="inlineStr">
        <is>
          <t>人数タグ</t>
        </is>
      </c>
      <c r="F1" s="2" t="inlineStr">
        <is>
          <t>表情・動き</t>
        </is>
      </c>
      <c r="G1" s="2" t="inlineStr">
        <is>
          <t>場所・背景</t>
        </is>
      </c>
      <c r="H1" s="2" t="inlineStr">
        <is>
          <t>カメラ・構図</t>
        </is>
      </c>
      <c r="I1" s="2" t="inlineStr">
        <is>
          <t>追加の指示</t>
        </is>
      </c>
      <c r="J1" s="2" t="inlineStr">
        <is>
          <t>指示文（自動）</t>
        </is>
      </c>
      <c r="K1" s="2" t="inlineStr">
        <is>
          <t>保存名（自動）</t>
        </is>
      </c>
      <c r="L1" s="2" t="inlineStr">
        <is>
          <t>使うLoRA（自動）</t>
        </is>
      </c>
      <c r="M1" s="2" t="inlineStr">
        <is>
          <t>採用した画像</t>
        </is>
      </c>
      <c r="N1" s="2" t="inlineStr">
        <is>
          <t>メモ</t>
        </is>
      </c>
    </row>
    <row r="2">
      <c r="A2" s="3" t="inlineStr">
        <is>
          <t>p1</t>
        </is>
      </c>
      <c r="B2" s="3" t="n">
        <v>1</v>
      </c>
      <c r="C2" s="3" t="inlineStr">
        <is>
          <t>あかね</t>
        </is>
      </c>
      <c r="D2" s="3" t="n"/>
      <c r="E2" s="3" t="inlineStr">
        <is>
          <t>1girl, solo</t>
        </is>
      </c>
      <c r="F2" s="3" t="inlineStr">
        <is>
          <t>surprised, looking back</t>
        </is>
      </c>
      <c r="G2" s="3" t="inlineStr">
        <is>
          <t>classroom</t>
        </is>
      </c>
      <c r="H2" s="3" t="inlineStr">
        <is>
          <t>upper body</t>
        </is>
      </c>
      <c r="I2" s="3" t="n"/>
      <c r="J2" s="4">
        <f>IF(AND(C2="",F2=""),"",_xlfn.TEXTJOIN(", ",TRUE,共通設定!$B$2,E2,IFERROR(VLOOKUP(C2,キャラ!$A:$E,2,FALSE),""),IFERROR(VLOOKUP(C2,キャラ!$A:$E,3,FALSE),""),IFERROR(VLOOKUP(D2,キャラ!$A:$E,2,FALSE),""),IFERROR(VLOOKUP(D2,キャラ!$A:$E,3,FALSE),""),F2,G2,H2,I2))</f>
        <v/>
      </c>
      <c r="K2" s="4">
        <f>IF(OR(A2="",B2=""),"",共通設定!$B$4&amp;"/"&amp;A2&amp;"_c"&amp;TEXT(B2,"00"))</f>
        <v/>
      </c>
      <c r="L2" s="4">
        <f>IF(IFERROR(VLOOKUP(C2,キャラ!$A:$E,4,FALSE),"")="","",IFERROR(VLOOKUP(C2,キャラ!$A:$E,4,FALSE),"")&amp;"（"&amp;IF(D2="",IFERROR(VLOOKUP(C2,キャラ!$A:$E,5,FALSE),""),0.5)&amp;"）")&amp;IF(IFERROR(VLOOKUP(D2,キャラ!$A:$E,4,FALSE),"")="",""," / "&amp;IFERROR(VLOOKUP(D2,キャラ!$A:$E,4,FALSE),"")&amp;"（0.5）")</f>
        <v/>
      </c>
      <c r="M2" s="3" t="n"/>
      <c r="N2" s="3" t="n"/>
    </row>
    <row r="3">
      <c r="A3" s="3" t="inlineStr">
        <is>
          <t>p1</t>
        </is>
      </c>
      <c r="B3" s="3" t="n">
        <v>2</v>
      </c>
      <c r="C3" s="3" t="inlineStr">
        <is>
          <t>あかね</t>
        </is>
      </c>
      <c r="D3" s="3" t="inlineStr">
        <is>
          <t>そうた</t>
        </is>
      </c>
      <c r="E3" s="3" t="inlineStr">
        <is>
          <t>1girl, 1boy</t>
        </is>
      </c>
      <c r="F3" s="3" t="inlineStr">
        <is>
          <t>talking, smile</t>
        </is>
      </c>
      <c r="G3" s="3" t="inlineStr">
        <is>
          <t>school hallway</t>
        </is>
      </c>
      <c r="H3" s="3" t="inlineStr">
        <is>
          <t>from side</t>
        </is>
      </c>
      <c r="I3" s="3" t="n"/>
      <c r="J3" s="4">
        <f>IF(AND(C3="",F3=""),"",_xlfn.TEXTJOIN(", ",TRUE,共通設定!$B$2,E3,IFERROR(VLOOKUP(C3,キャラ!$A:$E,2,FALSE),""),IFERROR(VLOOKUP(C3,キャラ!$A:$E,3,FALSE),""),IFERROR(VLOOKUP(D3,キャラ!$A:$E,2,FALSE),""),IFERROR(VLOOKUP(D3,キャラ!$A:$E,3,FALSE),""),F3,G3,H3,I3))</f>
        <v/>
      </c>
      <c r="K3" s="4">
        <f>IF(OR(A3="",B3=""),"",共通設定!$B$4&amp;"/"&amp;A3&amp;"_c"&amp;TEXT(B3,"00"))</f>
        <v/>
      </c>
      <c r="L3" s="4">
        <f>IF(IFERROR(VLOOKUP(C3,キャラ!$A:$E,4,FALSE),"")="","",IFERROR(VLOOKUP(C3,キャラ!$A:$E,4,FALSE),"")&amp;"（"&amp;IF(D3="",IFERROR(VLOOKUP(C3,キャラ!$A:$E,5,FALSE),""),0.5)&amp;"）")&amp;IF(IFERROR(VLOOKUP(D3,キャラ!$A:$E,4,FALSE),"")="",""," / "&amp;IFERROR(VLOOKUP(D3,キャラ!$A:$E,4,FALSE),"")&amp;"（0.5）")</f>
        <v/>
      </c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4">
        <f>IF(AND(C4="",F4=""),"",_xlfn.TEXTJOIN(", ",TRUE,共通設定!$B$2,E4,IFERROR(VLOOKUP(C4,キャラ!$A:$E,2,FALSE),""),IFERROR(VLOOKUP(C4,キャラ!$A:$E,3,FALSE),""),IFERROR(VLOOKUP(D4,キャラ!$A:$E,2,FALSE),""),IFERROR(VLOOKUP(D4,キャラ!$A:$E,3,FALSE),""),F4,G4,H4,I4))</f>
        <v/>
      </c>
      <c r="K4" s="4">
        <f>IF(OR(A4="",B4=""),"",共通設定!$B$4&amp;"/"&amp;A4&amp;"_c"&amp;TEXT(B4,"00"))</f>
        <v/>
      </c>
      <c r="L4" s="4">
        <f>IF(IFERROR(VLOOKUP(C4,キャラ!$A:$E,4,FALSE),"")="","",IFERROR(VLOOKUP(C4,キャラ!$A:$E,4,FALSE),"")&amp;"（"&amp;IF(D4="",IFERROR(VLOOKUP(C4,キャラ!$A:$E,5,FALSE),""),0.5)&amp;"）")&amp;IF(IFERROR(VLOOKUP(D4,キャラ!$A:$E,4,FALSE),"")="",""," / "&amp;IFERROR(VLOOKUP(D4,キャラ!$A:$E,4,FALSE),"")&amp;"（0.5）")</f>
        <v/>
      </c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4">
        <f>IF(AND(C5="",F5=""),"",_xlfn.TEXTJOIN(", ",TRUE,共通設定!$B$2,E5,IFERROR(VLOOKUP(C5,キャラ!$A:$E,2,FALSE),""),IFERROR(VLOOKUP(C5,キャラ!$A:$E,3,FALSE),""),IFERROR(VLOOKUP(D5,キャラ!$A:$E,2,FALSE),""),IFERROR(VLOOKUP(D5,キャラ!$A:$E,3,FALSE),""),F5,G5,H5,I5))</f>
        <v/>
      </c>
      <c r="K5" s="4">
        <f>IF(OR(A5="",B5=""),"",共通設定!$B$4&amp;"/"&amp;A5&amp;"_c"&amp;TEXT(B5,"00"))</f>
        <v/>
      </c>
      <c r="L5" s="4">
        <f>IF(IFERROR(VLOOKUP(C5,キャラ!$A:$E,4,FALSE),"")="","",IFERROR(VLOOKUP(C5,キャラ!$A:$E,4,FALSE),"")&amp;"（"&amp;IF(D5="",IFERROR(VLOOKUP(C5,キャラ!$A:$E,5,FALSE),""),0.5)&amp;"）")&amp;IF(IFERROR(VLOOKUP(D5,キャラ!$A:$E,4,FALSE),"")="",""," / "&amp;IFERROR(VLOOKUP(D5,キャラ!$A:$E,4,FALSE),"")&amp;"（0.5）")</f>
        <v/>
      </c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4">
        <f>IF(AND(C6="",F6=""),"",_xlfn.TEXTJOIN(", ",TRUE,共通設定!$B$2,E6,IFERROR(VLOOKUP(C6,キャラ!$A:$E,2,FALSE),""),IFERROR(VLOOKUP(C6,キャラ!$A:$E,3,FALSE),""),IFERROR(VLOOKUP(D6,キャラ!$A:$E,2,FALSE),""),IFERROR(VLOOKUP(D6,キャラ!$A:$E,3,FALSE),""),F6,G6,H6,I6))</f>
        <v/>
      </c>
      <c r="K6" s="4">
        <f>IF(OR(A6="",B6=""),"",共通設定!$B$4&amp;"/"&amp;A6&amp;"_c"&amp;TEXT(B6,"00"))</f>
        <v/>
      </c>
      <c r="L6" s="4">
        <f>IF(IFERROR(VLOOKUP(C6,キャラ!$A:$E,4,FALSE),"")="","",IFERROR(VLOOKUP(C6,キャラ!$A:$E,4,FALSE),"")&amp;"（"&amp;IF(D6="",IFERROR(VLOOKUP(C6,キャラ!$A:$E,5,FALSE),""),0.5)&amp;"）")&amp;IF(IFERROR(VLOOKUP(D6,キャラ!$A:$E,4,FALSE),"")="",""," / "&amp;IFERROR(VLOOKUP(D6,キャラ!$A:$E,4,FALSE),"")&amp;"（0.5）")</f>
        <v/>
      </c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4">
        <f>IF(AND(C7="",F7=""),"",_xlfn.TEXTJOIN(", ",TRUE,共通設定!$B$2,E7,IFERROR(VLOOKUP(C7,キャラ!$A:$E,2,FALSE),""),IFERROR(VLOOKUP(C7,キャラ!$A:$E,3,FALSE),""),IFERROR(VLOOKUP(D7,キャラ!$A:$E,2,FALSE),""),IFERROR(VLOOKUP(D7,キャラ!$A:$E,3,FALSE),""),F7,G7,H7,I7))</f>
        <v/>
      </c>
      <c r="K7" s="4">
        <f>IF(OR(A7="",B7=""),"",共通設定!$B$4&amp;"/"&amp;A7&amp;"_c"&amp;TEXT(B7,"00"))</f>
        <v/>
      </c>
      <c r="L7" s="4">
        <f>IF(IFERROR(VLOOKUP(C7,キャラ!$A:$E,4,FALSE),"")="","",IFERROR(VLOOKUP(C7,キャラ!$A:$E,4,FALSE),"")&amp;"（"&amp;IF(D7="",IFERROR(VLOOKUP(C7,キャラ!$A:$E,5,FALSE),""),0.5)&amp;"）")&amp;IF(IFERROR(VLOOKUP(D7,キャラ!$A:$E,4,FALSE),"")="",""," / "&amp;IFERROR(VLOOKUP(D7,キャラ!$A:$E,4,FALSE),"")&amp;"（0.5）")</f>
        <v/>
      </c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4">
        <f>IF(AND(C8="",F8=""),"",_xlfn.TEXTJOIN(", ",TRUE,共通設定!$B$2,E8,IFERROR(VLOOKUP(C8,キャラ!$A:$E,2,FALSE),""),IFERROR(VLOOKUP(C8,キャラ!$A:$E,3,FALSE),""),IFERROR(VLOOKUP(D8,キャラ!$A:$E,2,FALSE),""),IFERROR(VLOOKUP(D8,キャラ!$A:$E,3,FALSE),""),F8,G8,H8,I8))</f>
        <v/>
      </c>
      <c r="K8" s="4">
        <f>IF(OR(A8="",B8=""),"",共通設定!$B$4&amp;"/"&amp;A8&amp;"_c"&amp;TEXT(B8,"00"))</f>
        <v/>
      </c>
      <c r="L8" s="4">
        <f>IF(IFERROR(VLOOKUP(C8,キャラ!$A:$E,4,FALSE),"")="","",IFERROR(VLOOKUP(C8,キャラ!$A:$E,4,FALSE),"")&amp;"（"&amp;IF(D8="",IFERROR(VLOOKUP(C8,キャラ!$A:$E,5,FALSE),""),0.5)&amp;"）")&amp;IF(IFERROR(VLOOKUP(D8,キャラ!$A:$E,4,FALSE),"")="",""," / "&amp;IFERROR(VLOOKUP(D8,キャラ!$A:$E,4,FALSE),"")&amp;"（0.5）")</f>
        <v/>
      </c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4">
        <f>IF(AND(C9="",F9=""),"",_xlfn.TEXTJOIN(", ",TRUE,共通設定!$B$2,E9,IFERROR(VLOOKUP(C9,キャラ!$A:$E,2,FALSE),""),IFERROR(VLOOKUP(C9,キャラ!$A:$E,3,FALSE),""),IFERROR(VLOOKUP(D9,キャラ!$A:$E,2,FALSE),""),IFERROR(VLOOKUP(D9,キャラ!$A:$E,3,FALSE),""),F9,G9,H9,I9))</f>
        <v/>
      </c>
      <c r="K9" s="4">
        <f>IF(OR(A9="",B9=""),"",共通設定!$B$4&amp;"/"&amp;A9&amp;"_c"&amp;TEXT(B9,"00"))</f>
        <v/>
      </c>
      <c r="L9" s="4">
        <f>IF(IFERROR(VLOOKUP(C9,キャラ!$A:$E,4,FALSE),"")="","",IFERROR(VLOOKUP(C9,キャラ!$A:$E,4,FALSE),"")&amp;"（"&amp;IF(D9="",IFERROR(VLOOKUP(C9,キャラ!$A:$E,5,FALSE),""),0.5)&amp;"）")&amp;IF(IFERROR(VLOOKUP(D9,キャラ!$A:$E,4,FALSE),"")="",""," / "&amp;IFERROR(VLOOKUP(D9,キャラ!$A:$E,4,FALSE),"")&amp;"（0.5）")</f>
        <v/>
      </c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4">
        <f>IF(AND(C10="",F10=""),"",_xlfn.TEXTJOIN(", ",TRUE,共通設定!$B$2,E10,IFERROR(VLOOKUP(C10,キャラ!$A:$E,2,FALSE),""),IFERROR(VLOOKUP(C10,キャラ!$A:$E,3,FALSE),""),IFERROR(VLOOKUP(D10,キャラ!$A:$E,2,FALSE),""),IFERROR(VLOOKUP(D10,キャラ!$A:$E,3,FALSE),""),F10,G10,H10,I10))</f>
        <v/>
      </c>
      <c r="K10" s="4">
        <f>IF(OR(A10="",B10=""),"",共通設定!$B$4&amp;"/"&amp;A10&amp;"_c"&amp;TEXT(B10,"00"))</f>
        <v/>
      </c>
      <c r="L10" s="4">
        <f>IF(IFERROR(VLOOKUP(C10,キャラ!$A:$E,4,FALSE),"")="","",IFERROR(VLOOKUP(C10,キャラ!$A:$E,4,FALSE),"")&amp;"（"&amp;IF(D10="",IFERROR(VLOOKUP(C10,キャラ!$A:$E,5,FALSE),""),0.5)&amp;"）")&amp;IF(IFERROR(VLOOKUP(D10,キャラ!$A:$E,4,FALSE),"")="",""," / "&amp;IFERROR(VLOOKUP(D10,キャラ!$A:$E,4,FALSE),"")&amp;"（0.5）")</f>
        <v/>
      </c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4">
        <f>IF(AND(C11="",F11=""),"",_xlfn.TEXTJOIN(", ",TRUE,共通設定!$B$2,E11,IFERROR(VLOOKUP(C11,キャラ!$A:$E,2,FALSE),""),IFERROR(VLOOKUP(C11,キャラ!$A:$E,3,FALSE),""),IFERROR(VLOOKUP(D11,キャラ!$A:$E,2,FALSE),""),IFERROR(VLOOKUP(D11,キャラ!$A:$E,3,FALSE),""),F11,G11,H11,I11))</f>
        <v/>
      </c>
      <c r="K11" s="4">
        <f>IF(OR(A11="",B11=""),"",共通設定!$B$4&amp;"/"&amp;A11&amp;"_c"&amp;TEXT(B11,"00"))</f>
        <v/>
      </c>
      <c r="L11" s="4">
        <f>IF(IFERROR(VLOOKUP(C11,キャラ!$A:$E,4,FALSE),"")="","",IFERROR(VLOOKUP(C11,キャラ!$A:$E,4,FALSE),"")&amp;"（"&amp;IF(D11="",IFERROR(VLOOKUP(C11,キャラ!$A:$E,5,FALSE),""),0.5)&amp;"）")&amp;IF(IFERROR(VLOOKUP(D11,キャラ!$A:$E,4,FALSE),"")="",""," / "&amp;IFERROR(VLOOKUP(D11,キャラ!$A:$E,4,FALSE),"")&amp;"（0.5）")</f>
        <v/>
      </c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4">
        <f>IF(AND(C12="",F12=""),"",_xlfn.TEXTJOIN(", ",TRUE,共通設定!$B$2,E12,IFERROR(VLOOKUP(C12,キャラ!$A:$E,2,FALSE),""),IFERROR(VLOOKUP(C12,キャラ!$A:$E,3,FALSE),""),IFERROR(VLOOKUP(D12,キャラ!$A:$E,2,FALSE),""),IFERROR(VLOOKUP(D12,キャラ!$A:$E,3,FALSE),""),F12,G12,H12,I12))</f>
        <v/>
      </c>
      <c r="K12" s="4">
        <f>IF(OR(A12="",B12=""),"",共通設定!$B$4&amp;"/"&amp;A12&amp;"_c"&amp;TEXT(B12,"00"))</f>
        <v/>
      </c>
      <c r="L12" s="4">
        <f>IF(IFERROR(VLOOKUP(C12,キャラ!$A:$E,4,FALSE),"")="","",IFERROR(VLOOKUP(C12,キャラ!$A:$E,4,FALSE),"")&amp;"（"&amp;IF(D12="",IFERROR(VLOOKUP(C12,キャラ!$A:$E,5,FALSE),""),0.5)&amp;"）")&amp;IF(IFERROR(VLOOKUP(D12,キャラ!$A:$E,4,FALSE),"")="",""," / "&amp;IFERROR(VLOOKUP(D12,キャラ!$A:$E,4,FALSE),"")&amp;"（0.5）")</f>
        <v/>
      </c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4">
        <f>IF(AND(C13="",F13=""),"",_xlfn.TEXTJOIN(", ",TRUE,共通設定!$B$2,E13,IFERROR(VLOOKUP(C13,キャラ!$A:$E,2,FALSE),""),IFERROR(VLOOKUP(C13,キャラ!$A:$E,3,FALSE),""),IFERROR(VLOOKUP(D13,キャラ!$A:$E,2,FALSE),""),IFERROR(VLOOKUP(D13,キャラ!$A:$E,3,FALSE),""),F13,G13,H13,I13))</f>
        <v/>
      </c>
      <c r="K13" s="4">
        <f>IF(OR(A13="",B13=""),"",共通設定!$B$4&amp;"/"&amp;A13&amp;"_c"&amp;TEXT(B13,"00"))</f>
        <v/>
      </c>
      <c r="L13" s="4">
        <f>IF(IFERROR(VLOOKUP(C13,キャラ!$A:$E,4,FALSE),"")="","",IFERROR(VLOOKUP(C13,キャラ!$A:$E,4,FALSE),"")&amp;"（"&amp;IF(D13="",IFERROR(VLOOKUP(C13,キャラ!$A:$E,5,FALSE),""),0.5)&amp;"）")&amp;IF(IFERROR(VLOOKUP(D13,キャラ!$A:$E,4,FALSE),"")="",""," / "&amp;IFERROR(VLOOKUP(D13,キャラ!$A:$E,4,FALSE),"")&amp;"（0.5）")</f>
        <v/>
      </c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4">
        <f>IF(AND(C14="",F14=""),"",_xlfn.TEXTJOIN(", ",TRUE,共通設定!$B$2,E14,IFERROR(VLOOKUP(C14,キャラ!$A:$E,2,FALSE),""),IFERROR(VLOOKUP(C14,キャラ!$A:$E,3,FALSE),""),IFERROR(VLOOKUP(D14,キャラ!$A:$E,2,FALSE),""),IFERROR(VLOOKUP(D14,キャラ!$A:$E,3,FALSE),""),F14,G14,H14,I14))</f>
        <v/>
      </c>
      <c r="K14" s="4">
        <f>IF(OR(A14="",B14=""),"",共通設定!$B$4&amp;"/"&amp;A14&amp;"_c"&amp;TEXT(B14,"00"))</f>
        <v/>
      </c>
      <c r="L14" s="4">
        <f>IF(IFERROR(VLOOKUP(C14,キャラ!$A:$E,4,FALSE),"")="","",IFERROR(VLOOKUP(C14,キャラ!$A:$E,4,FALSE),"")&amp;"（"&amp;IF(D14="",IFERROR(VLOOKUP(C14,キャラ!$A:$E,5,FALSE),""),0.5)&amp;"）")&amp;IF(IFERROR(VLOOKUP(D14,キャラ!$A:$E,4,FALSE),"")="",""," / "&amp;IFERROR(VLOOKUP(D14,キャラ!$A:$E,4,FALSE),"")&amp;"（0.5）")</f>
        <v/>
      </c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4">
        <f>IF(AND(C15="",F15=""),"",_xlfn.TEXTJOIN(", ",TRUE,共通設定!$B$2,E15,IFERROR(VLOOKUP(C15,キャラ!$A:$E,2,FALSE),""),IFERROR(VLOOKUP(C15,キャラ!$A:$E,3,FALSE),""),IFERROR(VLOOKUP(D15,キャラ!$A:$E,2,FALSE),""),IFERROR(VLOOKUP(D15,キャラ!$A:$E,3,FALSE),""),F15,G15,H15,I15))</f>
        <v/>
      </c>
      <c r="K15" s="4">
        <f>IF(OR(A15="",B15=""),"",共通設定!$B$4&amp;"/"&amp;A15&amp;"_c"&amp;TEXT(B15,"00"))</f>
        <v/>
      </c>
      <c r="L15" s="4">
        <f>IF(IFERROR(VLOOKUP(C15,キャラ!$A:$E,4,FALSE),"")="","",IFERROR(VLOOKUP(C15,キャラ!$A:$E,4,FALSE),"")&amp;"（"&amp;IF(D15="",IFERROR(VLOOKUP(C15,キャラ!$A:$E,5,FALSE),""),0.5)&amp;"）")&amp;IF(IFERROR(VLOOKUP(D15,キャラ!$A:$E,4,FALSE),"")="",""," / "&amp;IFERROR(VLOOKUP(D15,キャラ!$A:$E,4,FALSE),"")&amp;"（0.5）")</f>
        <v/>
      </c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4">
        <f>IF(AND(C16="",F16=""),"",_xlfn.TEXTJOIN(", ",TRUE,共通設定!$B$2,E16,IFERROR(VLOOKUP(C16,キャラ!$A:$E,2,FALSE),""),IFERROR(VLOOKUP(C16,キャラ!$A:$E,3,FALSE),""),IFERROR(VLOOKUP(D16,キャラ!$A:$E,2,FALSE),""),IFERROR(VLOOKUP(D16,キャラ!$A:$E,3,FALSE),""),F16,G16,H16,I16))</f>
        <v/>
      </c>
      <c r="K16" s="4">
        <f>IF(OR(A16="",B16=""),"",共通設定!$B$4&amp;"/"&amp;A16&amp;"_c"&amp;TEXT(B16,"00"))</f>
        <v/>
      </c>
      <c r="L16" s="4">
        <f>IF(IFERROR(VLOOKUP(C16,キャラ!$A:$E,4,FALSE),"")="","",IFERROR(VLOOKUP(C16,キャラ!$A:$E,4,FALSE),"")&amp;"（"&amp;IF(D16="",IFERROR(VLOOKUP(C16,キャラ!$A:$E,5,FALSE),""),0.5)&amp;"）")&amp;IF(IFERROR(VLOOKUP(D16,キャラ!$A:$E,4,FALSE),"")="",""," / "&amp;IFERROR(VLOOKUP(D16,キャラ!$A:$E,4,FALSE),"")&amp;"（0.5）")</f>
        <v/>
      </c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4">
        <f>IF(AND(C17="",F17=""),"",_xlfn.TEXTJOIN(", ",TRUE,共通設定!$B$2,E17,IFERROR(VLOOKUP(C17,キャラ!$A:$E,2,FALSE),""),IFERROR(VLOOKUP(C17,キャラ!$A:$E,3,FALSE),""),IFERROR(VLOOKUP(D17,キャラ!$A:$E,2,FALSE),""),IFERROR(VLOOKUP(D17,キャラ!$A:$E,3,FALSE),""),F17,G17,H17,I17))</f>
        <v/>
      </c>
      <c r="K17" s="4">
        <f>IF(OR(A17="",B17=""),"",共通設定!$B$4&amp;"/"&amp;A17&amp;"_c"&amp;TEXT(B17,"00"))</f>
        <v/>
      </c>
      <c r="L17" s="4">
        <f>IF(IFERROR(VLOOKUP(C17,キャラ!$A:$E,4,FALSE),"")="","",IFERROR(VLOOKUP(C17,キャラ!$A:$E,4,FALSE),"")&amp;"（"&amp;IF(D17="",IFERROR(VLOOKUP(C17,キャラ!$A:$E,5,FALSE),""),0.5)&amp;"）")&amp;IF(IFERROR(VLOOKUP(D17,キャラ!$A:$E,4,FALSE),"")="",""," / "&amp;IFERROR(VLOOKUP(D17,キャラ!$A:$E,4,FALSE),"")&amp;"（0.5）")</f>
        <v/>
      </c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4">
        <f>IF(AND(C18="",F18=""),"",_xlfn.TEXTJOIN(", ",TRUE,共通設定!$B$2,E18,IFERROR(VLOOKUP(C18,キャラ!$A:$E,2,FALSE),""),IFERROR(VLOOKUP(C18,キャラ!$A:$E,3,FALSE),""),IFERROR(VLOOKUP(D18,キャラ!$A:$E,2,FALSE),""),IFERROR(VLOOKUP(D18,キャラ!$A:$E,3,FALSE),""),F18,G18,H18,I18))</f>
        <v/>
      </c>
      <c r="K18" s="4">
        <f>IF(OR(A18="",B18=""),"",共通設定!$B$4&amp;"/"&amp;A18&amp;"_c"&amp;TEXT(B18,"00"))</f>
        <v/>
      </c>
      <c r="L18" s="4">
        <f>IF(IFERROR(VLOOKUP(C18,キャラ!$A:$E,4,FALSE),"")="","",IFERROR(VLOOKUP(C18,キャラ!$A:$E,4,FALSE),"")&amp;"（"&amp;IF(D18="",IFERROR(VLOOKUP(C18,キャラ!$A:$E,5,FALSE),""),0.5)&amp;"）")&amp;IF(IFERROR(VLOOKUP(D18,キャラ!$A:$E,4,FALSE),"")="",""," / "&amp;IFERROR(VLOOKUP(D18,キャラ!$A:$E,4,FALSE),"")&amp;"（0.5）")</f>
        <v/>
      </c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4">
        <f>IF(AND(C19="",F19=""),"",_xlfn.TEXTJOIN(", ",TRUE,共通設定!$B$2,E19,IFERROR(VLOOKUP(C19,キャラ!$A:$E,2,FALSE),""),IFERROR(VLOOKUP(C19,キャラ!$A:$E,3,FALSE),""),IFERROR(VLOOKUP(D19,キャラ!$A:$E,2,FALSE),""),IFERROR(VLOOKUP(D19,キャラ!$A:$E,3,FALSE),""),F19,G19,H19,I19))</f>
        <v/>
      </c>
      <c r="K19" s="4">
        <f>IF(OR(A19="",B19=""),"",共通設定!$B$4&amp;"/"&amp;A19&amp;"_c"&amp;TEXT(B19,"00"))</f>
        <v/>
      </c>
      <c r="L19" s="4">
        <f>IF(IFERROR(VLOOKUP(C19,キャラ!$A:$E,4,FALSE),"")="","",IFERROR(VLOOKUP(C19,キャラ!$A:$E,4,FALSE),"")&amp;"（"&amp;IF(D19="",IFERROR(VLOOKUP(C19,キャラ!$A:$E,5,FALSE),""),0.5)&amp;"）")&amp;IF(IFERROR(VLOOKUP(D19,キャラ!$A:$E,4,FALSE),"")="",""," / "&amp;IFERROR(VLOOKUP(D19,キャラ!$A:$E,4,FALSE),"")&amp;"（0.5）")</f>
        <v/>
      </c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4">
        <f>IF(AND(C20="",F20=""),"",_xlfn.TEXTJOIN(", ",TRUE,共通設定!$B$2,E20,IFERROR(VLOOKUP(C20,キャラ!$A:$E,2,FALSE),""),IFERROR(VLOOKUP(C20,キャラ!$A:$E,3,FALSE),""),IFERROR(VLOOKUP(D20,キャラ!$A:$E,2,FALSE),""),IFERROR(VLOOKUP(D20,キャラ!$A:$E,3,FALSE),""),F20,G20,H20,I20))</f>
        <v/>
      </c>
      <c r="K20" s="4">
        <f>IF(OR(A20="",B20=""),"",共通設定!$B$4&amp;"/"&amp;A20&amp;"_c"&amp;TEXT(B20,"00"))</f>
        <v/>
      </c>
      <c r="L20" s="4">
        <f>IF(IFERROR(VLOOKUP(C20,キャラ!$A:$E,4,FALSE),"")="","",IFERROR(VLOOKUP(C20,キャラ!$A:$E,4,FALSE),"")&amp;"（"&amp;IF(D20="",IFERROR(VLOOKUP(C20,キャラ!$A:$E,5,FALSE),""),0.5)&amp;"）")&amp;IF(IFERROR(VLOOKUP(D20,キャラ!$A:$E,4,FALSE),"")="",""," / "&amp;IFERROR(VLOOKUP(D20,キャラ!$A:$E,4,FALSE),"")&amp;"（0.5）")</f>
        <v/>
      </c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4">
        <f>IF(AND(C21="",F21=""),"",_xlfn.TEXTJOIN(", ",TRUE,共通設定!$B$2,E21,IFERROR(VLOOKUP(C21,キャラ!$A:$E,2,FALSE),""),IFERROR(VLOOKUP(C21,キャラ!$A:$E,3,FALSE),""),IFERROR(VLOOKUP(D21,キャラ!$A:$E,2,FALSE),""),IFERROR(VLOOKUP(D21,キャラ!$A:$E,3,FALSE),""),F21,G21,H21,I21))</f>
        <v/>
      </c>
      <c r="K21" s="4">
        <f>IF(OR(A21="",B21=""),"",共通設定!$B$4&amp;"/"&amp;A21&amp;"_c"&amp;TEXT(B21,"00"))</f>
        <v/>
      </c>
      <c r="L21" s="4">
        <f>IF(IFERROR(VLOOKUP(C21,キャラ!$A:$E,4,FALSE),"")="","",IFERROR(VLOOKUP(C21,キャラ!$A:$E,4,FALSE),"")&amp;"（"&amp;IF(D21="",IFERROR(VLOOKUP(C21,キャラ!$A:$E,5,FALSE),""),0.5)&amp;"）")&amp;IF(IFERROR(VLOOKUP(D21,キャラ!$A:$E,4,FALSE),"")="",""," / "&amp;IFERROR(VLOOKUP(D21,キャラ!$A:$E,4,FALSE),"")&amp;"（0.5）")</f>
        <v/>
      </c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4">
        <f>IF(AND(C22="",F22=""),"",_xlfn.TEXTJOIN(", ",TRUE,共通設定!$B$2,E22,IFERROR(VLOOKUP(C22,キャラ!$A:$E,2,FALSE),""),IFERROR(VLOOKUP(C22,キャラ!$A:$E,3,FALSE),""),IFERROR(VLOOKUP(D22,キャラ!$A:$E,2,FALSE),""),IFERROR(VLOOKUP(D22,キャラ!$A:$E,3,FALSE),""),F22,G22,H22,I22))</f>
        <v/>
      </c>
      <c r="K22" s="4">
        <f>IF(OR(A22="",B22=""),"",共通設定!$B$4&amp;"/"&amp;A22&amp;"_c"&amp;TEXT(B22,"00"))</f>
        <v/>
      </c>
      <c r="L22" s="4">
        <f>IF(IFERROR(VLOOKUP(C22,キャラ!$A:$E,4,FALSE),"")="","",IFERROR(VLOOKUP(C22,キャラ!$A:$E,4,FALSE),"")&amp;"（"&amp;IF(D22="",IFERROR(VLOOKUP(C22,キャラ!$A:$E,5,FALSE),""),0.5)&amp;"）")&amp;IF(IFERROR(VLOOKUP(D22,キャラ!$A:$E,4,FALSE),"")="",""," / "&amp;IFERROR(VLOOKUP(D22,キャラ!$A:$E,4,FALSE),"")&amp;"（0.5）")</f>
        <v/>
      </c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4">
        <f>IF(AND(C23="",F23=""),"",_xlfn.TEXTJOIN(", ",TRUE,共通設定!$B$2,E23,IFERROR(VLOOKUP(C23,キャラ!$A:$E,2,FALSE),""),IFERROR(VLOOKUP(C23,キャラ!$A:$E,3,FALSE),""),IFERROR(VLOOKUP(D23,キャラ!$A:$E,2,FALSE),""),IFERROR(VLOOKUP(D23,キャラ!$A:$E,3,FALSE),""),F23,G23,H23,I23))</f>
        <v/>
      </c>
      <c r="K23" s="4">
        <f>IF(OR(A23="",B23=""),"",共通設定!$B$4&amp;"/"&amp;A23&amp;"_c"&amp;TEXT(B23,"00"))</f>
        <v/>
      </c>
      <c r="L23" s="4">
        <f>IF(IFERROR(VLOOKUP(C23,キャラ!$A:$E,4,FALSE),"")="","",IFERROR(VLOOKUP(C23,キャラ!$A:$E,4,FALSE),"")&amp;"（"&amp;IF(D23="",IFERROR(VLOOKUP(C23,キャラ!$A:$E,5,FALSE),""),0.5)&amp;"）")&amp;IF(IFERROR(VLOOKUP(D23,キャラ!$A:$E,4,FALSE),"")="",""," / "&amp;IFERROR(VLOOKUP(D23,キャラ!$A:$E,4,FALSE),"")&amp;"（0.5）")</f>
        <v/>
      </c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4">
        <f>IF(AND(C24="",F24=""),"",_xlfn.TEXTJOIN(", ",TRUE,共通設定!$B$2,E24,IFERROR(VLOOKUP(C24,キャラ!$A:$E,2,FALSE),""),IFERROR(VLOOKUP(C24,キャラ!$A:$E,3,FALSE),""),IFERROR(VLOOKUP(D24,キャラ!$A:$E,2,FALSE),""),IFERROR(VLOOKUP(D24,キャラ!$A:$E,3,FALSE),""),F24,G24,H24,I24))</f>
        <v/>
      </c>
      <c r="K24" s="4">
        <f>IF(OR(A24="",B24=""),"",共通設定!$B$4&amp;"/"&amp;A24&amp;"_c"&amp;TEXT(B24,"00"))</f>
        <v/>
      </c>
      <c r="L24" s="4">
        <f>IF(IFERROR(VLOOKUP(C24,キャラ!$A:$E,4,FALSE),"")="","",IFERROR(VLOOKUP(C24,キャラ!$A:$E,4,FALSE),"")&amp;"（"&amp;IF(D24="",IFERROR(VLOOKUP(C24,キャラ!$A:$E,5,FALSE),""),0.5)&amp;"）")&amp;IF(IFERROR(VLOOKUP(D24,キャラ!$A:$E,4,FALSE),"")="",""," / "&amp;IFERROR(VLOOKUP(D24,キャラ!$A:$E,4,FALSE),"")&amp;"（0.5）")</f>
        <v/>
      </c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4">
        <f>IF(AND(C25="",F25=""),"",_xlfn.TEXTJOIN(", ",TRUE,共通設定!$B$2,E25,IFERROR(VLOOKUP(C25,キャラ!$A:$E,2,FALSE),""),IFERROR(VLOOKUP(C25,キャラ!$A:$E,3,FALSE),""),IFERROR(VLOOKUP(D25,キャラ!$A:$E,2,FALSE),""),IFERROR(VLOOKUP(D25,キャラ!$A:$E,3,FALSE),""),F25,G25,H25,I25))</f>
        <v/>
      </c>
      <c r="K25" s="4">
        <f>IF(OR(A25="",B25=""),"",共通設定!$B$4&amp;"/"&amp;A25&amp;"_c"&amp;TEXT(B25,"00"))</f>
        <v/>
      </c>
      <c r="L25" s="4">
        <f>IF(IFERROR(VLOOKUP(C25,キャラ!$A:$E,4,FALSE),"")="","",IFERROR(VLOOKUP(C25,キャラ!$A:$E,4,FALSE),"")&amp;"（"&amp;IF(D25="",IFERROR(VLOOKUP(C25,キャラ!$A:$E,5,FALSE),""),0.5)&amp;"）")&amp;IF(IFERROR(VLOOKUP(D25,キャラ!$A:$E,4,FALSE),"")="",""," / "&amp;IFERROR(VLOOKUP(D25,キャラ!$A:$E,4,FALSE),"")&amp;"（0.5）")</f>
        <v/>
      </c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4">
        <f>IF(AND(C26="",F26=""),"",_xlfn.TEXTJOIN(", ",TRUE,共通設定!$B$2,E26,IFERROR(VLOOKUP(C26,キャラ!$A:$E,2,FALSE),""),IFERROR(VLOOKUP(C26,キャラ!$A:$E,3,FALSE),""),IFERROR(VLOOKUP(D26,キャラ!$A:$E,2,FALSE),""),IFERROR(VLOOKUP(D26,キャラ!$A:$E,3,FALSE),""),F26,G26,H26,I26))</f>
        <v/>
      </c>
      <c r="K26" s="4">
        <f>IF(OR(A26="",B26=""),"",共通設定!$B$4&amp;"/"&amp;A26&amp;"_c"&amp;TEXT(B26,"00"))</f>
        <v/>
      </c>
      <c r="L26" s="4">
        <f>IF(IFERROR(VLOOKUP(C26,キャラ!$A:$E,4,FALSE),"")="","",IFERROR(VLOOKUP(C26,キャラ!$A:$E,4,FALSE),"")&amp;"（"&amp;IF(D26="",IFERROR(VLOOKUP(C26,キャラ!$A:$E,5,FALSE),""),0.5)&amp;"）")&amp;IF(IFERROR(VLOOKUP(D26,キャラ!$A:$E,4,FALSE),"")="",""," / "&amp;IFERROR(VLOOKUP(D26,キャラ!$A:$E,4,FALSE),"")&amp;"（0.5）")</f>
        <v/>
      </c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4">
        <f>IF(AND(C27="",F27=""),"",_xlfn.TEXTJOIN(", ",TRUE,共通設定!$B$2,E27,IFERROR(VLOOKUP(C27,キャラ!$A:$E,2,FALSE),""),IFERROR(VLOOKUP(C27,キャラ!$A:$E,3,FALSE),""),IFERROR(VLOOKUP(D27,キャラ!$A:$E,2,FALSE),""),IFERROR(VLOOKUP(D27,キャラ!$A:$E,3,FALSE),""),F27,G27,H27,I27))</f>
        <v/>
      </c>
      <c r="K27" s="4">
        <f>IF(OR(A27="",B27=""),"",共通設定!$B$4&amp;"/"&amp;A27&amp;"_c"&amp;TEXT(B27,"00"))</f>
        <v/>
      </c>
      <c r="L27" s="4">
        <f>IF(IFERROR(VLOOKUP(C27,キャラ!$A:$E,4,FALSE),"")="","",IFERROR(VLOOKUP(C27,キャラ!$A:$E,4,FALSE),"")&amp;"（"&amp;IF(D27="",IFERROR(VLOOKUP(C27,キャラ!$A:$E,5,FALSE),""),0.5)&amp;"）")&amp;IF(IFERROR(VLOOKUP(D27,キャラ!$A:$E,4,FALSE),"")="",""," / "&amp;IFERROR(VLOOKUP(D27,キャラ!$A:$E,4,FALSE),"")&amp;"（0.5）")</f>
        <v/>
      </c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4">
        <f>IF(AND(C28="",F28=""),"",_xlfn.TEXTJOIN(", ",TRUE,共通設定!$B$2,E28,IFERROR(VLOOKUP(C28,キャラ!$A:$E,2,FALSE),""),IFERROR(VLOOKUP(C28,キャラ!$A:$E,3,FALSE),""),IFERROR(VLOOKUP(D28,キャラ!$A:$E,2,FALSE),""),IFERROR(VLOOKUP(D28,キャラ!$A:$E,3,FALSE),""),F28,G28,H28,I28))</f>
        <v/>
      </c>
      <c r="K28" s="4">
        <f>IF(OR(A28="",B28=""),"",共通設定!$B$4&amp;"/"&amp;A28&amp;"_c"&amp;TEXT(B28,"00"))</f>
        <v/>
      </c>
      <c r="L28" s="4">
        <f>IF(IFERROR(VLOOKUP(C28,キャラ!$A:$E,4,FALSE),"")="","",IFERROR(VLOOKUP(C28,キャラ!$A:$E,4,FALSE),"")&amp;"（"&amp;IF(D28="",IFERROR(VLOOKUP(C28,キャラ!$A:$E,5,FALSE),""),0.5)&amp;"）")&amp;IF(IFERROR(VLOOKUP(D28,キャラ!$A:$E,4,FALSE),"")="",""," / "&amp;IFERROR(VLOOKUP(D28,キャラ!$A:$E,4,FALSE),"")&amp;"（0.5）")</f>
        <v/>
      </c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4">
        <f>IF(AND(C29="",F29=""),"",_xlfn.TEXTJOIN(", ",TRUE,共通設定!$B$2,E29,IFERROR(VLOOKUP(C29,キャラ!$A:$E,2,FALSE),""),IFERROR(VLOOKUP(C29,キャラ!$A:$E,3,FALSE),""),IFERROR(VLOOKUP(D29,キャラ!$A:$E,2,FALSE),""),IFERROR(VLOOKUP(D29,キャラ!$A:$E,3,FALSE),""),F29,G29,H29,I29))</f>
        <v/>
      </c>
      <c r="K29" s="4">
        <f>IF(OR(A29="",B29=""),"",共通設定!$B$4&amp;"/"&amp;A29&amp;"_c"&amp;TEXT(B29,"00"))</f>
        <v/>
      </c>
      <c r="L29" s="4">
        <f>IF(IFERROR(VLOOKUP(C29,キャラ!$A:$E,4,FALSE),"")="","",IFERROR(VLOOKUP(C29,キャラ!$A:$E,4,FALSE),"")&amp;"（"&amp;IF(D29="",IFERROR(VLOOKUP(C29,キャラ!$A:$E,5,FALSE),""),0.5)&amp;"）")&amp;IF(IFERROR(VLOOKUP(D29,キャラ!$A:$E,4,FALSE),"")="",""," / "&amp;IFERROR(VLOOKUP(D29,キャラ!$A:$E,4,FALSE),"")&amp;"（0.5）")</f>
        <v/>
      </c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4">
        <f>IF(AND(C30="",F30=""),"",_xlfn.TEXTJOIN(", ",TRUE,共通設定!$B$2,E30,IFERROR(VLOOKUP(C30,キャラ!$A:$E,2,FALSE),""),IFERROR(VLOOKUP(C30,キャラ!$A:$E,3,FALSE),""),IFERROR(VLOOKUP(D30,キャラ!$A:$E,2,FALSE),""),IFERROR(VLOOKUP(D30,キャラ!$A:$E,3,FALSE),""),F30,G30,H30,I30))</f>
        <v/>
      </c>
      <c r="K30" s="4">
        <f>IF(OR(A30="",B30=""),"",共通設定!$B$4&amp;"/"&amp;A30&amp;"_c"&amp;TEXT(B30,"00"))</f>
        <v/>
      </c>
      <c r="L30" s="4">
        <f>IF(IFERROR(VLOOKUP(C30,キャラ!$A:$E,4,FALSE),"")="","",IFERROR(VLOOKUP(C30,キャラ!$A:$E,4,FALSE),"")&amp;"（"&amp;IF(D30="",IFERROR(VLOOKUP(C30,キャラ!$A:$E,5,FALSE),""),0.5)&amp;"）")&amp;IF(IFERROR(VLOOKUP(D30,キャラ!$A:$E,4,FALSE),"")="",""," / "&amp;IFERROR(VLOOKUP(D30,キャラ!$A:$E,4,FALSE),"")&amp;"（0.5）")</f>
        <v/>
      </c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4">
        <f>IF(AND(C31="",F31=""),"",_xlfn.TEXTJOIN(", ",TRUE,共通設定!$B$2,E31,IFERROR(VLOOKUP(C31,キャラ!$A:$E,2,FALSE),""),IFERROR(VLOOKUP(C31,キャラ!$A:$E,3,FALSE),""),IFERROR(VLOOKUP(D31,キャラ!$A:$E,2,FALSE),""),IFERROR(VLOOKUP(D31,キャラ!$A:$E,3,FALSE),""),F31,G31,H31,I31))</f>
        <v/>
      </c>
      <c r="K31" s="4">
        <f>IF(OR(A31="",B31=""),"",共通設定!$B$4&amp;"/"&amp;A31&amp;"_c"&amp;TEXT(B31,"00"))</f>
        <v/>
      </c>
      <c r="L31" s="4">
        <f>IF(IFERROR(VLOOKUP(C31,キャラ!$A:$E,4,FALSE),"")="","",IFERROR(VLOOKUP(C31,キャラ!$A:$E,4,FALSE),"")&amp;"（"&amp;IF(D31="",IFERROR(VLOOKUP(C31,キャラ!$A:$E,5,FALSE),""),0.5)&amp;"）")&amp;IF(IFERROR(VLOOKUP(D31,キャラ!$A:$E,4,FALSE),"")="",""," / "&amp;IFERROR(VLOOKUP(D31,キャラ!$A:$E,4,FALSE),"")&amp;"（0.5）")</f>
        <v/>
      </c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4">
        <f>IF(AND(C32="",F32=""),"",_xlfn.TEXTJOIN(", ",TRUE,共通設定!$B$2,E32,IFERROR(VLOOKUP(C32,キャラ!$A:$E,2,FALSE),""),IFERROR(VLOOKUP(C32,キャラ!$A:$E,3,FALSE),""),IFERROR(VLOOKUP(D32,キャラ!$A:$E,2,FALSE),""),IFERROR(VLOOKUP(D32,キャラ!$A:$E,3,FALSE),""),F32,G32,H32,I32))</f>
        <v/>
      </c>
      <c r="K32" s="4">
        <f>IF(OR(A32="",B32=""),"",共通設定!$B$4&amp;"/"&amp;A32&amp;"_c"&amp;TEXT(B32,"00"))</f>
        <v/>
      </c>
      <c r="L32" s="4">
        <f>IF(IFERROR(VLOOKUP(C32,キャラ!$A:$E,4,FALSE),"")="","",IFERROR(VLOOKUP(C32,キャラ!$A:$E,4,FALSE),"")&amp;"（"&amp;IF(D32="",IFERROR(VLOOKUP(C32,キャラ!$A:$E,5,FALSE),""),0.5)&amp;"）")&amp;IF(IFERROR(VLOOKUP(D32,キャラ!$A:$E,4,FALSE),"")="",""," / "&amp;IFERROR(VLOOKUP(D32,キャラ!$A:$E,4,FALSE),"")&amp;"（0.5）")</f>
        <v/>
      </c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4">
        <f>IF(AND(C33="",F33=""),"",_xlfn.TEXTJOIN(", ",TRUE,共通設定!$B$2,E33,IFERROR(VLOOKUP(C33,キャラ!$A:$E,2,FALSE),""),IFERROR(VLOOKUP(C33,キャラ!$A:$E,3,FALSE),""),IFERROR(VLOOKUP(D33,キャラ!$A:$E,2,FALSE),""),IFERROR(VLOOKUP(D33,キャラ!$A:$E,3,FALSE),""),F33,G33,H33,I33))</f>
        <v/>
      </c>
      <c r="K33" s="4">
        <f>IF(OR(A33="",B33=""),"",共通設定!$B$4&amp;"/"&amp;A33&amp;"_c"&amp;TEXT(B33,"00"))</f>
        <v/>
      </c>
      <c r="L33" s="4">
        <f>IF(IFERROR(VLOOKUP(C33,キャラ!$A:$E,4,FALSE),"")="","",IFERROR(VLOOKUP(C33,キャラ!$A:$E,4,FALSE),"")&amp;"（"&amp;IF(D33="",IFERROR(VLOOKUP(C33,キャラ!$A:$E,5,FALSE),""),0.5)&amp;"）")&amp;IF(IFERROR(VLOOKUP(D33,キャラ!$A:$E,4,FALSE),"")="",""," / "&amp;IFERROR(VLOOKUP(D33,キャラ!$A:$E,4,FALSE),"")&amp;"（0.5）")</f>
        <v/>
      </c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4">
        <f>IF(AND(C34="",F34=""),"",_xlfn.TEXTJOIN(", ",TRUE,共通設定!$B$2,E34,IFERROR(VLOOKUP(C34,キャラ!$A:$E,2,FALSE),""),IFERROR(VLOOKUP(C34,キャラ!$A:$E,3,FALSE),""),IFERROR(VLOOKUP(D34,キャラ!$A:$E,2,FALSE),""),IFERROR(VLOOKUP(D34,キャラ!$A:$E,3,FALSE),""),F34,G34,H34,I34))</f>
        <v/>
      </c>
      <c r="K34" s="4">
        <f>IF(OR(A34="",B34=""),"",共通設定!$B$4&amp;"/"&amp;A34&amp;"_c"&amp;TEXT(B34,"00"))</f>
        <v/>
      </c>
      <c r="L34" s="4">
        <f>IF(IFERROR(VLOOKUP(C34,キャラ!$A:$E,4,FALSE),"")="","",IFERROR(VLOOKUP(C34,キャラ!$A:$E,4,FALSE),"")&amp;"（"&amp;IF(D34="",IFERROR(VLOOKUP(C34,キャラ!$A:$E,5,FALSE),""),0.5)&amp;"）")&amp;IF(IFERROR(VLOOKUP(D34,キャラ!$A:$E,4,FALSE),"")="",""," / "&amp;IFERROR(VLOOKUP(D34,キャラ!$A:$E,4,FALSE),"")&amp;"（0.5）")</f>
        <v/>
      </c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4">
        <f>IF(AND(C35="",F35=""),"",_xlfn.TEXTJOIN(", ",TRUE,共通設定!$B$2,E35,IFERROR(VLOOKUP(C35,キャラ!$A:$E,2,FALSE),""),IFERROR(VLOOKUP(C35,キャラ!$A:$E,3,FALSE),""),IFERROR(VLOOKUP(D35,キャラ!$A:$E,2,FALSE),""),IFERROR(VLOOKUP(D35,キャラ!$A:$E,3,FALSE),""),F35,G35,H35,I35))</f>
        <v/>
      </c>
      <c r="K35" s="4">
        <f>IF(OR(A35="",B35=""),"",共通設定!$B$4&amp;"/"&amp;A35&amp;"_c"&amp;TEXT(B35,"00"))</f>
        <v/>
      </c>
      <c r="L35" s="4">
        <f>IF(IFERROR(VLOOKUP(C35,キャラ!$A:$E,4,FALSE),"")="","",IFERROR(VLOOKUP(C35,キャラ!$A:$E,4,FALSE),"")&amp;"（"&amp;IF(D35="",IFERROR(VLOOKUP(C35,キャラ!$A:$E,5,FALSE),""),0.5)&amp;"）")&amp;IF(IFERROR(VLOOKUP(D35,キャラ!$A:$E,4,FALSE),"")="",""," / "&amp;IFERROR(VLOOKUP(D35,キャラ!$A:$E,4,FALSE),"")&amp;"（0.5）")</f>
        <v/>
      </c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4">
        <f>IF(AND(C36="",F36=""),"",_xlfn.TEXTJOIN(", ",TRUE,共通設定!$B$2,E36,IFERROR(VLOOKUP(C36,キャラ!$A:$E,2,FALSE),""),IFERROR(VLOOKUP(C36,キャラ!$A:$E,3,FALSE),""),IFERROR(VLOOKUP(D36,キャラ!$A:$E,2,FALSE),""),IFERROR(VLOOKUP(D36,キャラ!$A:$E,3,FALSE),""),F36,G36,H36,I36))</f>
        <v/>
      </c>
      <c r="K36" s="4">
        <f>IF(OR(A36="",B36=""),"",共通設定!$B$4&amp;"/"&amp;A36&amp;"_c"&amp;TEXT(B36,"00"))</f>
        <v/>
      </c>
      <c r="L36" s="4">
        <f>IF(IFERROR(VLOOKUP(C36,キャラ!$A:$E,4,FALSE),"")="","",IFERROR(VLOOKUP(C36,キャラ!$A:$E,4,FALSE),"")&amp;"（"&amp;IF(D36="",IFERROR(VLOOKUP(C36,キャラ!$A:$E,5,FALSE),""),0.5)&amp;"）")&amp;IF(IFERROR(VLOOKUP(D36,キャラ!$A:$E,4,FALSE),"")="",""," / "&amp;IFERROR(VLOOKUP(D36,キャラ!$A:$E,4,FALSE),"")&amp;"（0.5）")</f>
        <v/>
      </c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4">
        <f>IF(AND(C37="",F37=""),"",_xlfn.TEXTJOIN(", ",TRUE,共通設定!$B$2,E37,IFERROR(VLOOKUP(C37,キャラ!$A:$E,2,FALSE),""),IFERROR(VLOOKUP(C37,キャラ!$A:$E,3,FALSE),""),IFERROR(VLOOKUP(D37,キャラ!$A:$E,2,FALSE),""),IFERROR(VLOOKUP(D37,キャラ!$A:$E,3,FALSE),""),F37,G37,H37,I37))</f>
        <v/>
      </c>
      <c r="K37" s="4">
        <f>IF(OR(A37="",B37=""),"",共通設定!$B$4&amp;"/"&amp;A37&amp;"_c"&amp;TEXT(B37,"00"))</f>
        <v/>
      </c>
      <c r="L37" s="4">
        <f>IF(IFERROR(VLOOKUP(C37,キャラ!$A:$E,4,FALSE),"")="","",IFERROR(VLOOKUP(C37,キャラ!$A:$E,4,FALSE),"")&amp;"（"&amp;IF(D37="",IFERROR(VLOOKUP(C37,キャラ!$A:$E,5,FALSE),""),0.5)&amp;"）")&amp;IF(IFERROR(VLOOKUP(D37,キャラ!$A:$E,4,FALSE),"")="",""," / "&amp;IFERROR(VLOOKUP(D37,キャラ!$A:$E,4,FALSE),"")&amp;"（0.5）")</f>
        <v/>
      </c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4">
        <f>IF(AND(C38="",F38=""),"",_xlfn.TEXTJOIN(", ",TRUE,共通設定!$B$2,E38,IFERROR(VLOOKUP(C38,キャラ!$A:$E,2,FALSE),""),IFERROR(VLOOKUP(C38,キャラ!$A:$E,3,FALSE),""),IFERROR(VLOOKUP(D38,キャラ!$A:$E,2,FALSE),""),IFERROR(VLOOKUP(D38,キャラ!$A:$E,3,FALSE),""),F38,G38,H38,I38))</f>
        <v/>
      </c>
      <c r="K38" s="4">
        <f>IF(OR(A38="",B38=""),"",共通設定!$B$4&amp;"/"&amp;A38&amp;"_c"&amp;TEXT(B38,"00"))</f>
        <v/>
      </c>
      <c r="L38" s="4">
        <f>IF(IFERROR(VLOOKUP(C38,キャラ!$A:$E,4,FALSE),"")="","",IFERROR(VLOOKUP(C38,キャラ!$A:$E,4,FALSE),"")&amp;"（"&amp;IF(D38="",IFERROR(VLOOKUP(C38,キャラ!$A:$E,5,FALSE),""),0.5)&amp;"）")&amp;IF(IFERROR(VLOOKUP(D38,キャラ!$A:$E,4,FALSE),"")="",""," / "&amp;IFERROR(VLOOKUP(D38,キャラ!$A:$E,4,FALSE),"")&amp;"（0.5）")</f>
        <v/>
      </c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4">
        <f>IF(AND(C39="",F39=""),"",_xlfn.TEXTJOIN(", ",TRUE,共通設定!$B$2,E39,IFERROR(VLOOKUP(C39,キャラ!$A:$E,2,FALSE),""),IFERROR(VLOOKUP(C39,キャラ!$A:$E,3,FALSE),""),IFERROR(VLOOKUP(D39,キャラ!$A:$E,2,FALSE),""),IFERROR(VLOOKUP(D39,キャラ!$A:$E,3,FALSE),""),F39,G39,H39,I39))</f>
        <v/>
      </c>
      <c r="K39" s="4">
        <f>IF(OR(A39="",B39=""),"",共通設定!$B$4&amp;"/"&amp;A39&amp;"_c"&amp;TEXT(B39,"00"))</f>
        <v/>
      </c>
      <c r="L39" s="4">
        <f>IF(IFERROR(VLOOKUP(C39,キャラ!$A:$E,4,FALSE),"")="","",IFERROR(VLOOKUP(C39,キャラ!$A:$E,4,FALSE),"")&amp;"（"&amp;IF(D39="",IFERROR(VLOOKUP(C39,キャラ!$A:$E,5,FALSE),""),0.5)&amp;"）")&amp;IF(IFERROR(VLOOKUP(D39,キャラ!$A:$E,4,FALSE),"")="",""," / "&amp;IFERROR(VLOOKUP(D39,キャラ!$A:$E,4,FALSE),"")&amp;"（0.5）")</f>
        <v/>
      </c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4">
        <f>IF(AND(C40="",F40=""),"",_xlfn.TEXTJOIN(", ",TRUE,共通設定!$B$2,E40,IFERROR(VLOOKUP(C40,キャラ!$A:$E,2,FALSE),""),IFERROR(VLOOKUP(C40,キャラ!$A:$E,3,FALSE),""),IFERROR(VLOOKUP(D40,キャラ!$A:$E,2,FALSE),""),IFERROR(VLOOKUP(D40,キャラ!$A:$E,3,FALSE),""),F40,G40,H40,I40))</f>
        <v/>
      </c>
      <c r="K40" s="4">
        <f>IF(OR(A40="",B40=""),"",共通設定!$B$4&amp;"/"&amp;A40&amp;"_c"&amp;TEXT(B40,"00"))</f>
        <v/>
      </c>
      <c r="L40" s="4">
        <f>IF(IFERROR(VLOOKUP(C40,キャラ!$A:$E,4,FALSE),"")="","",IFERROR(VLOOKUP(C40,キャラ!$A:$E,4,FALSE),"")&amp;"（"&amp;IF(D40="",IFERROR(VLOOKUP(C40,キャラ!$A:$E,5,FALSE),""),0.5)&amp;"）")&amp;IF(IFERROR(VLOOKUP(D40,キャラ!$A:$E,4,FALSE),"")="",""," / "&amp;IFERROR(VLOOKUP(D40,キャラ!$A:$E,4,FALSE),"")&amp;"（0.5）")</f>
        <v/>
      </c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4">
        <f>IF(AND(C41="",F41=""),"",_xlfn.TEXTJOIN(", ",TRUE,共通設定!$B$2,E41,IFERROR(VLOOKUP(C41,キャラ!$A:$E,2,FALSE),""),IFERROR(VLOOKUP(C41,キャラ!$A:$E,3,FALSE),""),IFERROR(VLOOKUP(D41,キャラ!$A:$E,2,FALSE),""),IFERROR(VLOOKUP(D41,キャラ!$A:$E,3,FALSE),""),F41,G41,H41,I41))</f>
        <v/>
      </c>
      <c r="K41" s="4">
        <f>IF(OR(A41="",B41=""),"",共通設定!$B$4&amp;"/"&amp;A41&amp;"_c"&amp;TEXT(B41,"00"))</f>
        <v/>
      </c>
      <c r="L41" s="4">
        <f>IF(IFERROR(VLOOKUP(C41,キャラ!$A:$E,4,FALSE),"")="","",IFERROR(VLOOKUP(C41,キャラ!$A:$E,4,FALSE),"")&amp;"（"&amp;IF(D41="",IFERROR(VLOOKUP(C41,キャラ!$A:$E,5,FALSE),""),0.5)&amp;"）")&amp;IF(IFERROR(VLOOKUP(D41,キャラ!$A:$E,4,FALSE),"")="",""," / "&amp;IFERROR(VLOOKUP(D41,キャラ!$A:$E,4,FALSE),"")&amp;"（0.5）")</f>
        <v/>
      </c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4">
        <f>IF(AND(C42="",F42=""),"",_xlfn.TEXTJOIN(", ",TRUE,共通設定!$B$2,E42,IFERROR(VLOOKUP(C42,キャラ!$A:$E,2,FALSE),""),IFERROR(VLOOKUP(C42,キャラ!$A:$E,3,FALSE),""),IFERROR(VLOOKUP(D42,キャラ!$A:$E,2,FALSE),""),IFERROR(VLOOKUP(D42,キャラ!$A:$E,3,FALSE),""),F42,G42,H42,I42))</f>
        <v/>
      </c>
      <c r="K42" s="4">
        <f>IF(OR(A42="",B42=""),"",共通設定!$B$4&amp;"/"&amp;A42&amp;"_c"&amp;TEXT(B42,"00"))</f>
        <v/>
      </c>
      <c r="L42" s="4">
        <f>IF(IFERROR(VLOOKUP(C42,キャラ!$A:$E,4,FALSE),"")="","",IFERROR(VLOOKUP(C42,キャラ!$A:$E,4,FALSE),"")&amp;"（"&amp;IF(D42="",IFERROR(VLOOKUP(C42,キャラ!$A:$E,5,FALSE),""),0.5)&amp;"）")&amp;IF(IFERROR(VLOOKUP(D42,キャラ!$A:$E,4,FALSE),"")="",""," / "&amp;IFERROR(VLOOKUP(D42,キャラ!$A:$E,4,FALSE),"")&amp;"（0.5）")</f>
        <v/>
      </c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4">
        <f>IF(AND(C43="",F43=""),"",_xlfn.TEXTJOIN(", ",TRUE,共通設定!$B$2,E43,IFERROR(VLOOKUP(C43,キャラ!$A:$E,2,FALSE),""),IFERROR(VLOOKUP(C43,キャラ!$A:$E,3,FALSE),""),IFERROR(VLOOKUP(D43,キャラ!$A:$E,2,FALSE),""),IFERROR(VLOOKUP(D43,キャラ!$A:$E,3,FALSE),""),F43,G43,H43,I43))</f>
        <v/>
      </c>
      <c r="K43" s="4">
        <f>IF(OR(A43="",B43=""),"",共通設定!$B$4&amp;"/"&amp;A43&amp;"_c"&amp;TEXT(B43,"00"))</f>
        <v/>
      </c>
      <c r="L43" s="4">
        <f>IF(IFERROR(VLOOKUP(C43,キャラ!$A:$E,4,FALSE),"")="","",IFERROR(VLOOKUP(C43,キャラ!$A:$E,4,FALSE),"")&amp;"（"&amp;IF(D43="",IFERROR(VLOOKUP(C43,キャラ!$A:$E,5,FALSE),""),0.5)&amp;"）")&amp;IF(IFERROR(VLOOKUP(D43,キャラ!$A:$E,4,FALSE),"")="",""," / "&amp;IFERROR(VLOOKUP(D43,キャラ!$A:$E,4,FALSE),"")&amp;"（0.5）")</f>
        <v/>
      </c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4">
        <f>IF(AND(C44="",F44=""),"",_xlfn.TEXTJOIN(", ",TRUE,共通設定!$B$2,E44,IFERROR(VLOOKUP(C44,キャラ!$A:$E,2,FALSE),""),IFERROR(VLOOKUP(C44,キャラ!$A:$E,3,FALSE),""),IFERROR(VLOOKUP(D44,キャラ!$A:$E,2,FALSE),""),IFERROR(VLOOKUP(D44,キャラ!$A:$E,3,FALSE),""),F44,G44,H44,I44))</f>
        <v/>
      </c>
      <c r="K44" s="4">
        <f>IF(OR(A44="",B44=""),"",共通設定!$B$4&amp;"/"&amp;A44&amp;"_c"&amp;TEXT(B44,"00"))</f>
        <v/>
      </c>
      <c r="L44" s="4">
        <f>IF(IFERROR(VLOOKUP(C44,キャラ!$A:$E,4,FALSE),"")="","",IFERROR(VLOOKUP(C44,キャラ!$A:$E,4,FALSE),"")&amp;"（"&amp;IF(D44="",IFERROR(VLOOKUP(C44,キャラ!$A:$E,5,FALSE),""),0.5)&amp;"）")&amp;IF(IFERROR(VLOOKUP(D44,キャラ!$A:$E,4,FALSE),"")="",""," / "&amp;IFERROR(VLOOKUP(D44,キャラ!$A:$E,4,FALSE),"")&amp;"（0.5）")</f>
        <v/>
      </c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4">
        <f>IF(AND(C45="",F45=""),"",_xlfn.TEXTJOIN(", ",TRUE,共通設定!$B$2,E45,IFERROR(VLOOKUP(C45,キャラ!$A:$E,2,FALSE),""),IFERROR(VLOOKUP(C45,キャラ!$A:$E,3,FALSE),""),IFERROR(VLOOKUP(D45,キャラ!$A:$E,2,FALSE),""),IFERROR(VLOOKUP(D45,キャラ!$A:$E,3,FALSE),""),F45,G45,H45,I45))</f>
        <v/>
      </c>
      <c r="K45" s="4">
        <f>IF(OR(A45="",B45=""),"",共通設定!$B$4&amp;"/"&amp;A45&amp;"_c"&amp;TEXT(B45,"00"))</f>
        <v/>
      </c>
      <c r="L45" s="4">
        <f>IF(IFERROR(VLOOKUP(C45,キャラ!$A:$E,4,FALSE),"")="","",IFERROR(VLOOKUP(C45,キャラ!$A:$E,4,FALSE),"")&amp;"（"&amp;IF(D45="",IFERROR(VLOOKUP(C45,キャラ!$A:$E,5,FALSE),""),0.5)&amp;"）")&amp;IF(IFERROR(VLOOKUP(D45,キャラ!$A:$E,4,FALSE),"")="",""," / "&amp;IFERROR(VLOOKUP(D45,キャラ!$A:$E,4,FALSE),"")&amp;"（0.5）")</f>
        <v/>
      </c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4">
        <f>IF(AND(C46="",F46=""),"",_xlfn.TEXTJOIN(", ",TRUE,共通設定!$B$2,E46,IFERROR(VLOOKUP(C46,キャラ!$A:$E,2,FALSE),""),IFERROR(VLOOKUP(C46,キャラ!$A:$E,3,FALSE),""),IFERROR(VLOOKUP(D46,キャラ!$A:$E,2,FALSE),""),IFERROR(VLOOKUP(D46,キャラ!$A:$E,3,FALSE),""),F46,G46,H46,I46))</f>
        <v/>
      </c>
      <c r="K46" s="4">
        <f>IF(OR(A46="",B46=""),"",共通設定!$B$4&amp;"/"&amp;A46&amp;"_c"&amp;TEXT(B46,"00"))</f>
        <v/>
      </c>
      <c r="L46" s="4">
        <f>IF(IFERROR(VLOOKUP(C46,キャラ!$A:$E,4,FALSE),"")="","",IFERROR(VLOOKUP(C46,キャラ!$A:$E,4,FALSE),"")&amp;"（"&amp;IF(D46="",IFERROR(VLOOKUP(C46,キャラ!$A:$E,5,FALSE),""),0.5)&amp;"）")&amp;IF(IFERROR(VLOOKUP(D46,キャラ!$A:$E,4,FALSE),"")="",""," / "&amp;IFERROR(VLOOKUP(D46,キャラ!$A:$E,4,FALSE),"")&amp;"（0.5）")</f>
        <v/>
      </c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4">
        <f>IF(AND(C47="",F47=""),"",_xlfn.TEXTJOIN(", ",TRUE,共通設定!$B$2,E47,IFERROR(VLOOKUP(C47,キャラ!$A:$E,2,FALSE),""),IFERROR(VLOOKUP(C47,キャラ!$A:$E,3,FALSE),""),IFERROR(VLOOKUP(D47,キャラ!$A:$E,2,FALSE),""),IFERROR(VLOOKUP(D47,キャラ!$A:$E,3,FALSE),""),F47,G47,H47,I47))</f>
        <v/>
      </c>
      <c r="K47" s="4">
        <f>IF(OR(A47="",B47=""),"",共通設定!$B$4&amp;"/"&amp;A47&amp;"_c"&amp;TEXT(B47,"00"))</f>
        <v/>
      </c>
      <c r="L47" s="4">
        <f>IF(IFERROR(VLOOKUP(C47,キャラ!$A:$E,4,FALSE),"")="","",IFERROR(VLOOKUP(C47,キャラ!$A:$E,4,FALSE),"")&amp;"（"&amp;IF(D47="",IFERROR(VLOOKUP(C47,キャラ!$A:$E,5,FALSE),""),0.5)&amp;"）")&amp;IF(IFERROR(VLOOKUP(D47,キャラ!$A:$E,4,FALSE),"")="",""," / "&amp;IFERROR(VLOOKUP(D47,キャラ!$A:$E,4,FALSE),"")&amp;"（0.5）")</f>
        <v/>
      </c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4">
        <f>IF(AND(C48="",F48=""),"",_xlfn.TEXTJOIN(", ",TRUE,共通設定!$B$2,E48,IFERROR(VLOOKUP(C48,キャラ!$A:$E,2,FALSE),""),IFERROR(VLOOKUP(C48,キャラ!$A:$E,3,FALSE),""),IFERROR(VLOOKUP(D48,キャラ!$A:$E,2,FALSE),""),IFERROR(VLOOKUP(D48,キャラ!$A:$E,3,FALSE),""),F48,G48,H48,I48))</f>
        <v/>
      </c>
      <c r="K48" s="4">
        <f>IF(OR(A48="",B48=""),"",共通設定!$B$4&amp;"/"&amp;A48&amp;"_c"&amp;TEXT(B48,"00"))</f>
        <v/>
      </c>
      <c r="L48" s="4">
        <f>IF(IFERROR(VLOOKUP(C48,キャラ!$A:$E,4,FALSE),"")="","",IFERROR(VLOOKUP(C48,キャラ!$A:$E,4,FALSE),"")&amp;"（"&amp;IF(D48="",IFERROR(VLOOKUP(C48,キャラ!$A:$E,5,FALSE),""),0.5)&amp;"）")&amp;IF(IFERROR(VLOOKUP(D48,キャラ!$A:$E,4,FALSE),"")="",""," / "&amp;IFERROR(VLOOKUP(D48,キャラ!$A:$E,4,FALSE),"")&amp;"（0.5）")</f>
        <v/>
      </c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4">
        <f>IF(AND(C49="",F49=""),"",_xlfn.TEXTJOIN(", ",TRUE,共通設定!$B$2,E49,IFERROR(VLOOKUP(C49,キャラ!$A:$E,2,FALSE),""),IFERROR(VLOOKUP(C49,キャラ!$A:$E,3,FALSE),""),IFERROR(VLOOKUP(D49,キャラ!$A:$E,2,FALSE),""),IFERROR(VLOOKUP(D49,キャラ!$A:$E,3,FALSE),""),F49,G49,H49,I49))</f>
        <v/>
      </c>
      <c r="K49" s="4">
        <f>IF(OR(A49="",B49=""),"",共通設定!$B$4&amp;"/"&amp;A49&amp;"_c"&amp;TEXT(B49,"00"))</f>
        <v/>
      </c>
      <c r="L49" s="4">
        <f>IF(IFERROR(VLOOKUP(C49,キャラ!$A:$E,4,FALSE),"")="","",IFERROR(VLOOKUP(C49,キャラ!$A:$E,4,FALSE),"")&amp;"（"&amp;IF(D49="",IFERROR(VLOOKUP(C49,キャラ!$A:$E,5,FALSE),""),0.5)&amp;"）")&amp;IF(IFERROR(VLOOKUP(D49,キャラ!$A:$E,4,FALSE),"")="",""," / "&amp;IFERROR(VLOOKUP(D49,キャラ!$A:$E,4,FALSE),"")&amp;"（0.5）")</f>
        <v/>
      </c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4">
        <f>IF(AND(C50="",F50=""),"",_xlfn.TEXTJOIN(", ",TRUE,共通設定!$B$2,E50,IFERROR(VLOOKUP(C50,キャラ!$A:$E,2,FALSE),""),IFERROR(VLOOKUP(C50,キャラ!$A:$E,3,FALSE),""),IFERROR(VLOOKUP(D50,キャラ!$A:$E,2,FALSE),""),IFERROR(VLOOKUP(D50,キャラ!$A:$E,3,FALSE),""),F50,G50,H50,I50))</f>
        <v/>
      </c>
      <c r="K50" s="4">
        <f>IF(OR(A50="",B50=""),"",共通設定!$B$4&amp;"/"&amp;A50&amp;"_c"&amp;TEXT(B50,"00"))</f>
        <v/>
      </c>
      <c r="L50" s="4">
        <f>IF(IFERROR(VLOOKUP(C50,キャラ!$A:$E,4,FALSE),"")="","",IFERROR(VLOOKUP(C50,キャラ!$A:$E,4,FALSE),"")&amp;"（"&amp;IF(D50="",IFERROR(VLOOKUP(C50,キャラ!$A:$E,5,FALSE),""),0.5)&amp;"）")&amp;IF(IFERROR(VLOOKUP(D50,キャラ!$A:$E,4,FALSE),"")="",""," / "&amp;IFERROR(VLOOKUP(D50,キャラ!$A:$E,4,FALSE),"")&amp;"（0.5）")</f>
        <v/>
      </c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4">
        <f>IF(AND(C51="",F51=""),"",_xlfn.TEXTJOIN(", ",TRUE,共通設定!$B$2,E51,IFERROR(VLOOKUP(C51,キャラ!$A:$E,2,FALSE),""),IFERROR(VLOOKUP(C51,キャラ!$A:$E,3,FALSE),""),IFERROR(VLOOKUP(D51,キャラ!$A:$E,2,FALSE),""),IFERROR(VLOOKUP(D51,キャラ!$A:$E,3,FALSE),""),F51,G51,H51,I51))</f>
        <v/>
      </c>
      <c r="K51" s="4">
        <f>IF(OR(A51="",B51=""),"",共通設定!$B$4&amp;"/"&amp;A51&amp;"_c"&amp;TEXT(B51,"00"))</f>
        <v/>
      </c>
      <c r="L51" s="4">
        <f>IF(IFERROR(VLOOKUP(C51,キャラ!$A:$E,4,FALSE),"")="","",IFERROR(VLOOKUP(C51,キャラ!$A:$E,4,FALSE),"")&amp;"（"&amp;IF(D51="",IFERROR(VLOOKUP(C51,キャラ!$A:$E,5,FALSE),""),0.5)&amp;"）")&amp;IF(IFERROR(VLOOKUP(D51,キャラ!$A:$E,4,FALSE),"")="",""," / "&amp;IFERROR(VLOOKUP(D51,キャラ!$A:$E,4,FALSE),"")&amp;"（0.5）")</f>
        <v/>
      </c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4">
        <f>IF(AND(C52="",F52=""),"",_xlfn.TEXTJOIN(", ",TRUE,共通設定!$B$2,E52,IFERROR(VLOOKUP(C52,キャラ!$A:$E,2,FALSE),""),IFERROR(VLOOKUP(C52,キャラ!$A:$E,3,FALSE),""),IFERROR(VLOOKUP(D52,キャラ!$A:$E,2,FALSE),""),IFERROR(VLOOKUP(D52,キャラ!$A:$E,3,FALSE),""),F52,G52,H52,I52))</f>
        <v/>
      </c>
      <c r="K52" s="4">
        <f>IF(OR(A52="",B52=""),"",共通設定!$B$4&amp;"/"&amp;A52&amp;"_c"&amp;TEXT(B52,"00"))</f>
        <v/>
      </c>
      <c r="L52" s="4">
        <f>IF(IFERROR(VLOOKUP(C52,キャラ!$A:$E,4,FALSE),"")="","",IFERROR(VLOOKUP(C52,キャラ!$A:$E,4,FALSE),"")&amp;"（"&amp;IF(D52="",IFERROR(VLOOKUP(C52,キャラ!$A:$E,5,FALSE),""),0.5)&amp;"）")&amp;IF(IFERROR(VLOOKUP(D52,キャラ!$A:$E,4,FALSE),"")="",""," / "&amp;IFERROR(VLOOKUP(D52,キャラ!$A:$E,4,FALSE),"")&amp;"（0.5）")</f>
        <v/>
      </c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4">
        <f>IF(AND(C53="",F53=""),"",_xlfn.TEXTJOIN(", ",TRUE,共通設定!$B$2,E53,IFERROR(VLOOKUP(C53,キャラ!$A:$E,2,FALSE),""),IFERROR(VLOOKUP(C53,キャラ!$A:$E,3,FALSE),""),IFERROR(VLOOKUP(D53,キャラ!$A:$E,2,FALSE),""),IFERROR(VLOOKUP(D53,キャラ!$A:$E,3,FALSE),""),F53,G53,H53,I53))</f>
        <v/>
      </c>
      <c r="K53" s="4">
        <f>IF(OR(A53="",B53=""),"",共通設定!$B$4&amp;"/"&amp;A53&amp;"_c"&amp;TEXT(B53,"00"))</f>
        <v/>
      </c>
      <c r="L53" s="4">
        <f>IF(IFERROR(VLOOKUP(C53,キャラ!$A:$E,4,FALSE),"")="","",IFERROR(VLOOKUP(C53,キャラ!$A:$E,4,FALSE),"")&amp;"（"&amp;IF(D53="",IFERROR(VLOOKUP(C53,キャラ!$A:$E,5,FALSE),""),0.5)&amp;"）")&amp;IF(IFERROR(VLOOKUP(D53,キャラ!$A:$E,4,FALSE),"")="",""," / "&amp;IFERROR(VLOOKUP(D53,キャラ!$A:$E,4,FALSE),"")&amp;"（0.5）")</f>
        <v/>
      </c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4">
        <f>IF(AND(C54="",F54=""),"",_xlfn.TEXTJOIN(", ",TRUE,共通設定!$B$2,E54,IFERROR(VLOOKUP(C54,キャラ!$A:$E,2,FALSE),""),IFERROR(VLOOKUP(C54,キャラ!$A:$E,3,FALSE),""),IFERROR(VLOOKUP(D54,キャラ!$A:$E,2,FALSE),""),IFERROR(VLOOKUP(D54,キャラ!$A:$E,3,FALSE),""),F54,G54,H54,I54))</f>
        <v/>
      </c>
      <c r="K54" s="4">
        <f>IF(OR(A54="",B54=""),"",共通設定!$B$4&amp;"/"&amp;A54&amp;"_c"&amp;TEXT(B54,"00"))</f>
        <v/>
      </c>
      <c r="L54" s="4">
        <f>IF(IFERROR(VLOOKUP(C54,キャラ!$A:$E,4,FALSE),"")="","",IFERROR(VLOOKUP(C54,キャラ!$A:$E,4,FALSE),"")&amp;"（"&amp;IF(D54="",IFERROR(VLOOKUP(C54,キャラ!$A:$E,5,FALSE),""),0.5)&amp;"）")&amp;IF(IFERROR(VLOOKUP(D54,キャラ!$A:$E,4,FALSE),"")="",""," / "&amp;IFERROR(VLOOKUP(D54,キャラ!$A:$E,4,FALSE),"")&amp;"（0.5）")</f>
        <v/>
      </c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4">
        <f>IF(AND(C55="",F55=""),"",_xlfn.TEXTJOIN(", ",TRUE,共通設定!$B$2,E55,IFERROR(VLOOKUP(C55,キャラ!$A:$E,2,FALSE),""),IFERROR(VLOOKUP(C55,キャラ!$A:$E,3,FALSE),""),IFERROR(VLOOKUP(D55,キャラ!$A:$E,2,FALSE),""),IFERROR(VLOOKUP(D55,キャラ!$A:$E,3,FALSE),""),F55,G55,H55,I55))</f>
        <v/>
      </c>
      <c r="K55" s="4">
        <f>IF(OR(A55="",B55=""),"",共通設定!$B$4&amp;"/"&amp;A55&amp;"_c"&amp;TEXT(B55,"00"))</f>
        <v/>
      </c>
      <c r="L55" s="4">
        <f>IF(IFERROR(VLOOKUP(C55,キャラ!$A:$E,4,FALSE),"")="","",IFERROR(VLOOKUP(C55,キャラ!$A:$E,4,FALSE),"")&amp;"（"&amp;IF(D55="",IFERROR(VLOOKUP(C55,キャラ!$A:$E,5,FALSE),""),0.5)&amp;"）")&amp;IF(IFERROR(VLOOKUP(D55,キャラ!$A:$E,4,FALSE),"")="",""," / "&amp;IFERROR(VLOOKUP(D55,キャラ!$A:$E,4,FALSE),"")&amp;"（0.5）")</f>
        <v/>
      </c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4">
        <f>IF(AND(C56="",F56=""),"",_xlfn.TEXTJOIN(", ",TRUE,共通設定!$B$2,E56,IFERROR(VLOOKUP(C56,キャラ!$A:$E,2,FALSE),""),IFERROR(VLOOKUP(C56,キャラ!$A:$E,3,FALSE),""),IFERROR(VLOOKUP(D56,キャラ!$A:$E,2,FALSE),""),IFERROR(VLOOKUP(D56,キャラ!$A:$E,3,FALSE),""),F56,G56,H56,I56))</f>
        <v/>
      </c>
      <c r="K56" s="4">
        <f>IF(OR(A56="",B56=""),"",共通設定!$B$4&amp;"/"&amp;A56&amp;"_c"&amp;TEXT(B56,"00"))</f>
        <v/>
      </c>
      <c r="L56" s="4">
        <f>IF(IFERROR(VLOOKUP(C56,キャラ!$A:$E,4,FALSE),"")="","",IFERROR(VLOOKUP(C56,キャラ!$A:$E,4,FALSE),"")&amp;"（"&amp;IF(D56="",IFERROR(VLOOKUP(C56,キャラ!$A:$E,5,FALSE),""),0.5)&amp;"）")&amp;IF(IFERROR(VLOOKUP(D56,キャラ!$A:$E,4,FALSE),"")="",""," / "&amp;IFERROR(VLOOKUP(D56,キャラ!$A:$E,4,FALSE),"")&amp;"（0.5）")</f>
        <v/>
      </c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4">
        <f>IF(AND(C57="",F57=""),"",_xlfn.TEXTJOIN(", ",TRUE,共通設定!$B$2,E57,IFERROR(VLOOKUP(C57,キャラ!$A:$E,2,FALSE),""),IFERROR(VLOOKUP(C57,キャラ!$A:$E,3,FALSE),""),IFERROR(VLOOKUP(D57,キャラ!$A:$E,2,FALSE),""),IFERROR(VLOOKUP(D57,キャラ!$A:$E,3,FALSE),""),F57,G57,H57,I57))</f>
        <v/>
      </c>
      <c r="K57" s="4">
        <f>IF(OR(A57="",B57=""),"",共通設定!$B$4&amp;"/"&amp;A57&amp;"_c"&amp;TEXT(B57,"00"))</f>
        <v/>
      </c>
      <c r="L57" s="4">
        <f>IF(IFERROR(VLOOKUP(C57,キャラ!$A:$E,4,FALSE),"")="","",IFERROR(VLOOKUP(C57,キャラ!$A:$E,4,FALSE),"")&amp;"（"&amp;IF(D57="",IFERROR(VLOOKUP(C57,キャラ!$A:$E,5,FALSE),""),0.5)&amp;"）")&amp;IF(IFERROR(VLOOKUP(D57,キャラ!$A:$E,4,FALSE),"")="",""," / "&amp;IFERROR(VLOOKUP(D57,キャラ!$A:$E,4,FALSE),"")&amp;"（0.5）")</f>
        <v/>
      </c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4">
        <f>IF(AND(C58="",F58=""),"",_xlfn.TEXTJOIN(", ",TRUE,共通設定!$B$2,E58,IFERROR(VLOOKUP(C58,キャラ!$A:$E,2,FALSE),""),IFERROR(VLOOKUP(C58,キャラ!$A:$E,3,FALSE),""),IFERROR(VLOOKUP(D58,キャラ!$A:$E,2,FALSE),""),IFERROR(VLOOKUP(D58,キャラ!$A:$E,3,FALSE),""),F58,G58,H58,I58))</f>
        <v/>
      </c>
      <c r="K58" s="4">
        <f>IF(OR(A58="",B58=""),"",共通設定!$B$4&amp;"/"&amp;A58&amp;"_c"&amp;TEXT(B58,"00"))</f>
        <v/>
      </c>
      <c r="L58" s="4">
        <f>IF(IFERROR(VLOOKUP(C58,キャラ!$A:$E,4,FALSE),"")="","",IFERROR(VLOOKUP(C58,キャラ!$A:$E,4,FALSE),"")&amp;"（"&amp;IF(D58="",IFERROR(VLOOKUP(C58,キャラ!$A:$E,5,FALSE),""),0.5)&amp;"）")&amp;IF(IFERROR(VLOOKUP(D58,キャラ!$A:$E,4,FALSE),"")="",""," / "&amp;IFERROR(VLOOKUP(D58,キャラ!$A:$E,4,FALSE),"")&amp;"（0.5）")</f>
        <v/>
      </c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4">
        <f>IF(AND(C59="",F59=""),"",_xlfn.TEXTJOIN(", ",TRUE,共通設定!$B$2,E59,IFERROR(VLOOKUP(C59,キャラ!$A:$E,2,FALSE),""),IFERROR(VLOOKUP(C59,キャラ!$A:$E,3,FALSE),""),IFERROR(VLOOKUP(D59,キャラ!$A:$E,2,FALSE),""),IFERROR(VLOOKUP(D59,キャラ!$A:$E,3,FALSE),""),F59,G59,H59,I59))</f>
        <v/>
      </c>
      <c r="K59" s="4">
        <f>IF(OR(A59="",B59=""),"",共通設定!$B$4&amp;"/"&amp;A59&amp;"_c"&amp;TEXT(B59,"00"))</f>
        <v/>
      </c>
      <c r="L59" s="4">
        <f>IF(IFERROR(VLOOKUP(C59,キャラ!$A:$E,4,FALSE),"")="","",IFERROR(VLOOKUP(C59,キャラ!$A:$E,4,FALSE),"")&amp;"（"&amp;IF(D59="",IFERROR(VLOOKUP(C59,キャラ!$A:$E,5,FALSE),""),0.5)&amp;"）")&amp;IF(IFERROR(VLOOKUP(D59,キャラ!$A:$E,4,FALSE),"")="",""," / "&amp;IFERROR(VLOOKUP(D59,キャラ!$A:$E,4,FALSE),"")&amp;"（0.5）")</f>
        <v/>
      </c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4">
        <f>IF(AND(C60="",F60=""),"",_xlfn.TEXTJOIN(", ",TRUE,共通設定!$B$2,E60,IFERROR(VLOOKUP(C60,キャラ!$A:$E,2,FALSE),""),IFERROR(VLOOKUP(C60,キャラ!$A:$E,3,FALSE),""),IFERROR(VLOOKUP(D60,キャラ!$A:$E,2,FALSE),""),IFERROR(VLOOKUP(D60,キャラ!$A:$E,3,FALSE),""),F60,G60,H60,I60))</f>
        <v/>
      </c>
      <c r="K60" s="4">
        <f>IF(OR(A60="",B60=""),"",共通設定!$B$4&amp;"/"&amp;A60&amp;"_c"&amp;TEXT(B60,"00"))</f>
        <v/>
      </c>
      <c r="L60" s="4">
        <f>IF(IFERROR(VLOOKUP(C60,キャラ!$A:$E,4,FALSE),"")="","",IFERROR(VLOOKUP(C60,キャラ!$A:$E,4,FALSE),"")&amp;"（"&amp;IF(D60="",IFERROR(VLOOKUP(C60,キャラ!$A:$E,5,FALSE),""),0.5)&amp;"）")&amp;IF(IFERROR(VLOOKUP(D60,キャラ!$A:$E,4,FALSE),"")="",""," / "&amp;IFERROR(VLOOKUP(D60,キャラ!$A:$E,4,FALSE),"")&amp;"（0.5）")</f>
        <v/>
      </c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4">
        <f>IF(AND(C61="",F61=""),"",_xlfn.TEXTJOIN(", ",TRUE,共通設定!$B$2,E61,IFERROR(VLOOKUP(C61,キャラ!$A:$E,2,FALSE),""),IFERROR(VLOOKUP(C61,キャラ!$A:$E,3,FALSE),""),IFERROR(VLOOKUP(D61,キャラ!$A:$E,2,FALSE),""),IFERROR(VLOOKUP(D61,キャラ!$A:$E,3,FALSE),""),F61,G61,H61,I61))</f>
        <v/>
      </c>
      <c r="K61" s="4">
        <f>IF(OR(A61="",B61=""),"",共通設定!$B$4&amp;"/"&amp;A61&amp;"_c"&amp;TEXT(B61,"00"))</f>
        <v/>
      </c>
      <c r="L61" s="4">
        <f>IF(IFERROR(VLOOKUP(C61,キャラ!$A:$E,4,FALSE),"")="","",IFERROR(VLOOKUP(C61,キャラ!$A:$E,4,FALSE),"")&amp;"（"&amp;IF(D61="",IFERROR(VLOOKUP(C61,キャラ!$A:$E,5,FALSE),""),0.5)&amp;"）")&amp;IF(IFERROR(VLOOKUP(D61,キャラ!$A:$E,4,FALSE),"")="",""," / "&amp;IFERROR(VLOOKUP(D61,キャラ!$A:$E,4,FALSE),"")&amp;"（0.5）")</f>
        <v/>
      </c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4">
        <f>IF(AND(C62="",F62=""),"",_xlfn.TEXTJOIN(", ",TRUE,共通設定!$B$2,E62,IFERROR(VLOOKUP(C62,キャラ!$A:$E,2,FALSE),""),IFERROR(VLOOKUP(C62,キャラ!$A:$E,3,FALSE),""),IFERROR(VLOOKUP(D62,キャラ!$A:$E,2,FALSE),""),IFERROR(VLOOKUP(D62,キャラ!$A:$E,3,FALSE),""),F62,G62,H62,I62))</f>
        <v/>
      </c>
      <c r="K62" s="4">
        <f>IF(OR(A62="",B62=""),"",共通設定!$B$4&amp;"/"&amp;A62&amp;"_c"&amp;TEXT(B62,"00"))</f>
        <v/>
      </c>
      <c r="L62" s="4">
        <f>IF(IFERROR(VLOOKUP(C62,キャラ!$A:$E,4,FALSE),"")="","",IFERROR(VLOOKUP(C62,キャラ!$A:$E,4,FALSE),"")&amp;"（"&amp;IF(D62="",IFERROR(VLOOKUP(C62,キャラ!$A:$E,5,FALSE),""),0.5)&amp;"）")&amp;IF(IFERROR(VLOOKUP(D62,キャラ!$A:$E,4,FALSE),"")="",""," / "&amp;IFERROR(VLOOKUP(D62,キャラ!$A:$E,4,FALSE),"")&amp;"（0.5）")</f>
        <v/>
      </c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4">
        <f>IF(AND(C63="",F63=""),"",_xlfn.TEXTJOIN(", ",TRUE,共通設定!$B$2,E63,IFERROR(VLOOKUP(C63,キャラ!$A:$E,2,FALSE),""),IFERROR(VLOOKUP(C63,キャラ!$A:$E,3,FALSE),""),IFERROR(VLOOKUP(D63,キャラ!$A:$E,2,FALSE),""),IFERROR(VLOOKUP(D63,キャラ!$A:$E,3,FALSE),""),F63,G63,H63,I63))</f>
        <v/>
      </c>
      <c r="K63" s="4">
        <f>IF(OR(A63="",B63=""),"",共通設定!$B$4&amp;"/"&amp;A63&amp;"_c"&amp;TEXT(B63,"00"))</f>
        <v/>
      </c>
      <c r="L63" s="4">
        <f>IF(IFERROR(VLOOKUP(C63,キャラ!$A:$E,4,FALSE),"")="","",IFERROR(VLOOKUP(C63,キャラ!$A:$E,4,FALSE),"")&amp;"（"&amp;IF(D63="",IFERROR(VLOOKUP(C63,キャラ!$A:$E,5,FALSE),""),0.5)&amp;"）")&amp;IF(IFERROR(VLOOKUP(D63,キャラ!$A:$E,4,FALSE),"")="",""," / "&amp;IFERROR(VLOOKUP(D63,キャラ!$A:$E,4,FALSE),"")&amp;"（0.5）")</f>
        <v/>
      </c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4">
        <f>IF(AND(C64="",F64=""),"",_xlfn.TEXTJOIN(", ",TRUE,共通設定!$B$2,E64,IFERROR(VLOOKUP(C64,キャラ!$A:$E,2,FALSE),""),IFERROR(VLOOKUP(C64,キャラ!$A:$E,3,FALSE),""),IFERROR(VLOOKUP(D64,キャラ!$A:$E,2,FALSE),""),IFERROR(VLOOKUP(D64,キャラ!$A:$E,3,FALSE),""),F64,G64,H64,I64))</f>
        <v/>
      </c>
      <c r="K64" s="4">
        <f>IF(OR(A64="",B64=""),"",共通設定!$B$4&amp;"/"&amp;A64&amp;"_c"&amp;TEXT(B64,"00"))</f>
        <v/>
      </c>
      <c r="L64" s="4">
        <f>IF(IFERROR(VLOOKUP(C64,キャラ!$A:$E,4,FALSE),"")="","",IFERROR(VLOOKUP(C64,キャラ!$A:$E,4,FALSE),"")&amp;"（"&amp;IF(D64="",IFERROR(VLOOKUP(C64,キャラ!$A:$E,5,FALSE),""),0.5)&amp;"）")&amp;IF(IFERROR(VLOOKUP(D64,キャラ!$A:$E,4,FALSE),"")="",""," / "&amp;IFERROR(VLOOKUP(D64,キャラ!$A:$E,4,FALSE),"")&amp;"（0.5）")</f>
        <v/>
      </c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4">
        <f>IF(AND(C65="",F65=""),"",_xlfn.TEXTJOIN(", ",TRUE,共通設定!$B$2,E65,IFERROR(VLOOKUP(C65,キャラ!$A:$E,2,FALSE),""),IFERROR(VLOOKUP(C65,キャラ!$A:$E,3,FALSE),""),IFERROR(VLOOKUP(D65,キャラ!$A:$E,2,FALSE),""),IFERROR(VLOOKUP(D65,キャラ!$A:$E,3,FALSE),""),F65,G65,H65,I65))</f>
        <v/>
      </c>
      <c r="K65" s="4">
        <f>IF(OR(A65="",B65=""),"",共通設定!$B$4&amp;"/"&amp;A65&amp;"_c"&amp;TEXT(B65,"00"))</f>
        <v/>
      </c>
      <c r="L65" s="4">
        <f>IF(IFERROR(VLOOKUP(C65,キャラ!$A:$E,4,FALSE),"")="","",IFERROR(VLOOKUP(C65,キャラ!$A:$E,4,FALSE),"")&amp;"（"&amp;IF(D65="",IFERROR(VLOOKUP(C65,キャラ!$A:$E,5,FALSE),""),0.5)&amp;"）")&amp;IF(IFERROR(VLOOKUP(D65,キャラ!$A:$E,4,FALSE),"")="",""," / "&amp;IFERROR(VLOOKUP(D65,キャラ!$A:$E,4,FALSE),"")&amp;"（0.5）")</f>
        <v/>
      </c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4">
        <f>IF(AND(C66="",F66=""),"",_xlfn.TEXTJOIN(", ",TRUE,共通設定!$B$2,E66,IFERROR(VLOOKUP(C66,キャラ!$A:$E,2,FALSE),""),IFERROR(VLOOKUP(C66,キャラ!$A:$E,3,FALSE),""),IFERROR(VLOOKUP(D66,キャラ!$A:$E,2,FALSE),""),IFERROR(VLOOKUP(D66,キャラ!$A:$E,3,FALSE),""),F66,G66,H66,I66))</f>
        <v/>
      </c>
      <c r="K66" s="4">
        <f>IF(OR(A66="",B66=""),"",共通設定!$B$4&amp;"/"&amp;A66&amp;"_c"&amp;TEXT(B66,"00"))</f>
        <v/>
      </c>
      <c r="L66" s="4">
        <f>IF(IFERROR(VLOOKUP(C66,キャラ!$A:$E,4,FALSE),"")="","",IFERROR(VLOOKUP(C66,キャラ!$A:$E,4,FALSE),"")&amp;"（"&amp;IF(D66="",IFERROR(VLOOKUP(C66,キャラ!$A:$E,5,FALSE),""),0.5)&amp;"）")&amp;IF(IFERROR(VLOOKUP(D66,キャラ!$A:$E,4,FALSE),"")="",""," / "&amp;IFERROR(VLOOKUP(D66,キャラ!$A:$E,4,FALSE),"")&amp;"（0.5）")</f>
        <v/>
      </c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4">
        <f>IF(AND(C67="",F67=""),"",_xlfn.TEXTJOIN(", ",TRUE,共通設定!$B$2,E67,IFERROR(VLOOKUP(C67,キャラ!$A:$E,2,FALSE),""),IFERROR(VLOOKUP(C67,キャラ!$A:$E,3,FALSE),""),IFERROR(VLOOKUP(D67,キャラ!$A:$E,2,FALSE),""),IFERROR(VLOOKUP(D67,キャラ!$A:$E,3,FALSE),""),F67,G67,H67,I67))</f>
        <v/>
      </c>
      <c r="K67" s="4">
        <f>IF(OR(A67="",B67=""),"",共通設定!$B$4&amp;"/"&amp;A67&amp;"_c"&amp;TEXT(B67,"00"))</f>
        <v/>
      </c>
      <c r="L67" s="4">
        <f>IF(IFERROR(VLOOKUP(C67,キャラ!$A:$E,4,FALSE),"")="","",IFERROR(VLOOKUP(C67,キャラ!$A:$E,4,FALSE),"")&amp;"（"&amp;IF(D67="",IFERROR(VLOOKUP(C67,キャラ!$A:$E,5,FALSE),""),0.5)&amp;"）")&amp;IF(IFERROR(VLOOKUP(D67,キャラ!$A:$E,4,FALSE),"")="",""," / "&amp;IFERROR(VLOOKUP(D67,キャラ!$A:$E,4,FALSE),"")&amp;"（0.5）")</f>
        <v/>
      </c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4">
        <f>IF(AND(C68="",F68=""),"",_xlfn.TEXTJOIN(", ",TRUE,共通設定!$B$2,E68,IFERROR(VLOOKUP(C68,キャラ!$A:$E,2,FALSE),""),IFERROR(VLOOKUP(C68,キャラ!$A:$E,3,FALSE),""),IFERROR(VLOOKUP(D68,キャラ!$A:$E,2,FALSE),""),IFERROR(VLOOKUP(D68,キャラ!$A:$E,3,FALSE),""),F68,G68,H68,I68))</f>
        <v/>
      </c>
      <c r="K68" s="4">
        <f>IF(OR(A68="",B68=""),"",共通設定!$B$4&amp;"/"&amp;A68&amp;"_c"&amp;TEXT(B68,"00"))</f>
        <v/>
      </c>
      <c r="L68" s="4">
        <f>IF(IFERROR(VLOOKUP(C68,キャラ!$A:$E,4,FALSE),"")="","",IFERROR(VLOOKUP(C68,キャラ!$A:$E,4,FALSE),"")&amp;"（"&amp;IF(D68="",IFERROR(VLOOKUP(C68,キャラ!$A:$E,5,FALSE),""),0.5)&amp;"）")&amp;IF(IFERROR(VLOOKUP(D68,キャラ!$A:$E,4,FALSE),"")="",""," / "&amp;IFERROR(VLOOKUP(D68,キャラ!$A:$E,4,FALSE),"")&amp;"（0.5）")</f>
        <v/>
      </c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4">
        <f>IF(AND(C69="",F69=""),"",_xlfn.TEXTJOIN(", ",TRUE,共通設定!$B$2,E69,IFERROR(VLOOKUP(C69,キャラ!$A:$E,2,FALSE),""),IFERROR(VLOOKUP(C69,キャラ!$A:$E,3,FALSE),""),IFERROR(VLOOKUP(D69,キャラ!$A:$E,2,FALSE),""),IFERROR(VLOOKUP(D69,キャラ!$A:$E,3,FALSE),""),F69,G69,H69,I69))</f>
        <v/>
      </c>
      <c r="K69" s="4">
        <f>IF(OR(A69="",B69=""),"",共通設定!$B$4&amp;"/"&amp;A69&amp;"_c"&amp;TEXT(B69,"00"))</f>
        <v/>
      </c>
      <c r="L69" s="4">
        <f>IF(IFERROR(VLOOKUP(C69,キャラ!$A:$E,4,FALSE),"")="","",IFERROR(VLOOKUP(C69,キャラ!$A:$E,4,FALSE),"")&amp;"（"&amp;IF(D69="",IFERROR(VLOOKUP(C69,キャラ!$A:$E,5,FALSE),""),0.5)&amp;"）")&amp;IF(IFERROR(VLOOKUP(D69,キャラ!$A:$E,4,FALSE),"")="",""," / "&amp;IFERROR(VLOOKUP(D69,キャラ!$A:$E,4,FALSE),"")&amp;"（0.5）")</f>
        <v/>
      </c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4">
        <f>IF(AND(C70="",F70=""),"",_xlfn.TEXTJOIN(", ",TRUE,共通設定!$B$2,E70,IFERROR(VLOOKUP(C70,キャラ!$A:$E,2,FALSE),""),IFERROR(VLOOKUP(C70,キャラ!$A:$E,3,FALSE),""),IFERROR(VLOOKUP(D70,キャラ!$A:$E,2,FALSE),""),IFERROR(VLOOKUP(D70,キャラ!$A:$E,3,FALSE),""),F70,G70,H70,I70))</f>
        <v/>
      </c>
      <c r="K70" s="4">
        <f>IF(OR(A70="",B70=""),"",共通設定!$B$4&amp;"/"&amp;A70&amp;"_c"&amp;TEXT(B70,"00"))</f>
        <v/>
      </c>
      <c r="L70" s="4">
        <f>IF(IFERROR(VLOOKUP(C70,キャラ!$A:$E,4,FALSE),"")="","",IFERROR(VLOOKUP(C70,キャラ!$A:$E,4,FALSE),"")&amp;"（"&amp;IF(D70="",IFERROR(VLOOKUP(C70,キャラ!$A:$E,5,FALSE),""),0.5)&amp;"）")&amp;IF(IFERROR(VLOOKUP(D70,キャラ!$A:$E,4,FALSE),"")="",""," / "&amp;IFERROR(VLOOKUP(D70,キャラ!$A:$E,4,FALSE),"")&amp;"（0.5）")</f>
        <v/>
      </c>
      <c r="M70" s="3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4">
        <f>IF(AND(C71="",F71=""),"",_xlfn.TEXTJOIN(", ",TRUE,共通設定!$B$2,E71,IFERROR(VLOOKUP(C71,キャラ!$A:$E,2,FALSE),""),IFERROR(VLOOKUP(C71,キャラ!$A:$E,3,FALSE),""),IFERROR(VLOOKUP(D71,キャラ!$A:$E,2,FALSE),""),IFERROR(VLOOKUP(D71,キャラ!$A:$E,3,FALSE),""),F71,G71,H71,I71))</f>
        <v/>
      </c>
      <c r="K71" s="4">
        <f>IF(OR(A71="",B71=""),"",共通設定!$B$4&amp;"/"&amp;A71&amp;"_c"&amp;TEXT(B71,"00"))</f>
        <v/>
      </c>
      <c r="L71" s="4">
        <f>IF(IFERROR(VLOOKUP(C71,キャラ!$A:$E,4,FALSE),"")="","",IFERROR(VLOOKUP(C71,キャラ!$A:$E,4,FALSE),"")&amp;"（"&amp;IF(D71="",IFERROR(VLOOKUP(C71,キャラ!$A:$E,5,FALSE),""),0.5)&amp;"）")&amp;IF(IFERROR(VLOOKUP(D71,キャラ!$A:$E,4,FALSE),"")="",""," / "&amp;IFERROR(VLOOKUP(D71,キャラ!$A:$E,4,FALSE),"")&amp;"（0.5）")</f>
        <v/>
      </c>
      <c r="M71" s="3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4">
        <f>IF(AND(C72="",F72=""),"",_xlfn.TEXTJOIN(", ",TRUE,共通設定!$B$2,E72,IFERROR(VLOOKUP(C72,キャラ!$A:$E,2,FALSE),""),IFERROR(VLOOKUP(C72,キャラ!$A:$E,3,FALSE),""),IFERROR(VLOOKUP(D72,キャラ!$A:$E,2,FALSE),""),IFERROR(VLOOKUP(D72,キャラ!$A:$E,3,FALSE),""),F72,G72,H72,I72))</f>
        <v/>
      </c>
      <c r="K72" s="4">
        <f>IF(OR(A72="",B72=""),"",共通設定!$B$4&amp;"/"&amp;A72&amp;"_c"&amp;TEXT(B72,"00"))</f>
        <v/>
      </c>
      <c r="L72" s="4">
        <f>IF(IFERROR(VLOOKUP(C72,キャラ!$A:$E,4,FALSE),"")="","",IFERROR(VLOOKUP(C72,キャラ!$A:$E,4,FALSE),"")&amp;"（"&amp;IF(D72="",IFERROR(VLOOKUP(C72,キャラ!$A:$E,5,FALSE),""),0.5)&amp;"）")&amp;IF(IFERROR(VLOOKUP(D72,キャラ!$A:$E,4,FALSE),"")="",""," / "&amp;IFERROR(VLOOKUP(D72,キャラ!$A:$E,4,FALSE),"")&amp;"（0.5）")</f>
        <v/>
      </c>
      <c r="M72" s="3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4">
        <f>IF(AND(C73="",F73=""),"",_xlfn.TEXTJOIN(", ",TRUE,共通設定!$B$2,E73,IFERROR(VLOOKUP(C73,キャラ!$A:$E,2,FALSE),""),IFERROR(VLOOKUP(C73,キャラ!$A:$E,3,FALSE),""),IFERROR(VLOOKUP(D73,キャラ!$A:$E,2,FALSE),""),IFERROR(VLOOKUP(D73,キャラ!$A:$E,3,FALSE),""),F73,G73,H73,I73))</f>
        <v/>
      </c>
      <c r="K73" s="4">
        <f>IF(OR(A73="",B73=""),"",共通設定!$B$4&amp;"/"&amp;A73&amp;"_c"&amp;TEXT(B73,"00"))</f>
        <v/>
      </c>
      <c r="L73" s="4">
        <f>IF(IFERROR(VLOOKUP(C73,キャラ!$A:$E,4,FALSE),"")="","",IFERROR(VLOOKUP(C73,キャラ!$A:$E,4,FALSE),"")&amp;"（"&amp;IF(D73="",IFERROR(VLOOKUP(C73,キャラ!$A:$E,5,FALSE),""),0.5)&amp;"）")&amp;IF(IFERROR(VLOOKUP(D73,キャラ!$A:$E,4,FALSE),"")="",""," / "&amp;IFERROR(VLOOKUP(D73,キャラ!$A:$E,4,FALSE),"")&amp;"（0.5）")</f>
        <v/>
      </c>
      <c r="M73" s="3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4">
        <f>IF(AND(C74="",F74=""),"",_xlfn.TEXTJOIN(", ",TRUE,共通設定!$B$2,E74,IFERROR(VLOOKUP(C74,キャラ!$A:$E,2,FALSE),""),IFERROR(VLOOKUP(C74,キャラ!$A:$E,3,FALSE),""),IFERROR(VLOOKUP(D74,キャラ!$A:$E,2,FALSE),""),IFERROR(VLOOKUP(D74,キャラ!$A:$E,3,FALSE),""),F74,G74,H74,I74))</f>
        <v/>
      </c>
      <c r="K74" s="4">
        <f>IF(OR(A74="",B74=""),"",共通設定!$B$4&amp;"/"&amp;A74&amp;"_c"&amp;TEXT(B74,"00"))</f>
        <v/>
      </c>
      <c r="L74" s="4">
        <f>IF(IFERROR(VLOOKUP(C74,キャラ!$A:$E,4,FALSE),"")="","",IFERROR(VLOOKUP(C74,キャラ!$A:$E,4,FALSE),"")&amp;"（"&amp;IF(D74="",IFERROR(VLOOKUP(C74,キャラ!$A:$E,5,FALSE),""),0.5)&amp;"）")&amp;IF(IFERROR(VLOOKUP(D74,キャラ!$A:$E,4,FALSE),"")="",""," / "&amp;IFERROR(VLOOKUP(D74,キャラ!$A:$E,4,FALSE),"")&amp;"（0.5）")</f>
        <v/>
      </c>
      <c r="M74" s="3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4">
        <f>IF(AND(C75="",F75=""),"",_xlfn.TEXTJOIN(", ",TRUE,共通設定!$B$2,E75,IFERROR(VLOOKUP(C75,キャラ!$A:$E,2,FALSE),""),IFERROR(VLOOKUP(C75,キャラ!$A:$E,3,FALSE),""),IFERROR(VLOOKUP(D75,キャラ!$A:$E,2,FALSE),""),IFERROR(VLOOKUP(D75,キャラ!$A:$E,3,FALSE),""),F75,G75,H75,I75))</f>
        <v/>
      </c>
      <c r="K75" s="4">
        <f>IF(OR(A75="",B75=""),"",共通設定!$B$4&amp;"/"&amp;A75&amp;"_c"&amp;TEXT(B75,"00"))</f>
        <v/>
      </c>
      <c r="L75" s="4">
        <f>IF(IFERROR(VLOOKUP(C75,キャラ!$A:$E,4,FALSE),"")="","",IFERROR(VLOOKUP(C75,キャラ!$A:$E,4,FALSE),"")&amp;"（"&amp;IF(D75="",IFERROR(VLOOKUP(C75,キャラ!$A:$E,5,FALSE),""),0.5)&amp;"）")&amp;IF(IFERROR(VLOOKUP(D75,キャラ!$A:$E,4,FALSE),"")="",""," / "&amp;IFERROR(VLOOKUP(D75,キャラ!$A:$E,4,FALSE),"")&amp;"（0.5）")</f>
        <v/>
      </c>
      <c r="M75" s="3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4">
        <f>IF(AND(C76="",F76=""),"",_xlfn.TEXTJOIN(", ",TRUE,共通設定!$B$2,E76,IFERROR(VLOOKUP(C76,キャラ!$A:$E,2,FALSE),""),IFERROR(VLOOKUP(C76,キャラ!$A:$E,3,FALSE),""),IFERROR(VLOOKUP(D76,キャラ!$A:$E,2,FALSE),""),IFERROR(VLOOKUP(D76,キャラ!$A:$E,3,FALSE),""),F76,G76,H76,I76))</f>
        <v/>
      </c>
      <c r="K76" s="4">
        <f>IF(OR(A76="",B76=""),"",共通設定!$B$4&amp;"/"&amp;A76&amp;"_c"&amp;TEXT(B76,"00"))</f>
        <v/>
      </c>
      <c r="L76" s="4">
        <f>IF(IFERROR(VLOOKUP(C76,キャラ!$A:$E,4,FALSE),"")="","",IFERROR(VLOOKUP(C76,キャラ!$A:$E,4,FALSE),"")&amp;"（"&amp;IF(D76="",IFERROR(VLOOKUP(C76,キャラ!$A:$E,5,FALSE),""),0.5)&amp;"）")&amp;IF(IFERROR(VLOOKUP(D76,キャラ!$A:$E,4,FALSE),"")="",""," / "&amp;IFERROR(VLOOKUP(D76,キャラ!$A:$E,4,FALSE),"")&amp;"（0.5）")</f>
        <v/>
      </c>
      <c r="M76" s="3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4">
        <f>IF(AND(C77="",F77=""),"",_xlfn.TEXTJOIN(", ",TRUE,共通設定!$B$2,E77,IFERROR(VLOOKUP(C77,キャラ!$A:$E,2,FALSE),""),IFERROR(VLOOKUP(C77,キャラ!$A:$E,3,FALSE),""),IFERROR(VLOOKUP(D77,キャラ!$A:$E,2,FALSE),""),IFERROR(VLOOKUP(D77,キャラ!$A:$E,3,FALSE),""),F77,G77,H77,I77))</f>
        <v/>
      </c>
      <c r="K77" s="4">
        <f>IF(OR(A77="",B77=""),"",共通設定!$B$4&amp;"/"&amp;A77&amp;"_c"&amp;TEXT(B77,"00"))</f>
        <v/>
      </c>
      <c r="L77" s="4">
        <f>IF(IFERROR(VLOOKUP(C77,キャラ!$A:$E,4,FALSE),"")="","",IFERROR(VLOOKUP(C77,キャラ!$A:$E,4,FALSE),"")&amp;"（"&amp;IF(D77="",IFERROR(VLOOKUP(C77,キャラ!$A:$E,5,FALSE),""),0.5)&amp;"）")&amp;IF(IFERROR(VLOOKUP(D77,キャラ!$A:$E,4,FALSE),"")="",""," / "&amp;IFERROR(VLOOKUP(D77,キャラ!$A:$E,4,FALSE),"")&amp;"（0.5）")</f>
        <v/>
      </c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4">
        <f>IF(AND(C78="",F78=""),"",_xlfn.TEXTJOIN(", ",TRUE,共通設定!$B$2,E78,IFERROR(VLOOKUP(C78,キャラ!$A:$E,2,FALSE),""),IFERROR(VLOOKUP(C78,キャラ!$A:$E,3,FALSE),""),IFERROR(VLOOKUP(D78,キャラ!$A:$E,2,FALSE),""),IFERROR(VLOOKUP(D78,キャラ!$A:$E,3,FALSE),""),F78,G78,H78,I78))</f>
        <v/>
      </c>
      <c r="K78" s="4">
        <f>IF(OR(A78="",B78=""),"",共通設定!$B$4&amp;"/"&amp;A78&amp;"_c"&amp;TEXT(B78,"00"))</f>
        <v/>
      </c>
      <c r="L78" s="4">
        <f>IF(IFERROR(VLOOKUP(C78,キャラ!$A:$E,4,FALSE),"")="","",IFERROR(VLOOKUP(C78,キャラ!$A:$E,4,FALSE),"")&amp;"（"&amp;IF(D78="",IFERROR(VLOOKUP(C78,キャラ!$A:$E,5,FALSE),""),0.5)&amp;"）")&amp;IF(IFERROR(VLOOKUP(D78,キャラ!$A:$E,4,FALSE),"")="",""," / "&amp;IFERROR(VLOOKUP(D78,キャラ!$A:$E,4,FALSE),"")&amp;"（0.5）")</f>
        <v/>
      </c>
      <c r="M78" s="3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4">
        <f>IF(AND(C79="",F79=""),"",_xlfn.TEXTJOIN(", ",TRUE,共通設定!$B$2,E79,IFERROR(VLOOKUP(C79,キャラ!$A:$E,2,FALSE),""),IFERROR(VLOOKUP(C79,キャラ!$A:$E,3,FALSE),""),IFERROR(VLOOKUP(D79,キャラ!$A:$E,2,FALSE),""),IFERROR(VLOOKUP(D79,キャラ!$A:$E,3,FALSE),""),F79,G79,H79,I79))</f>
        <v/>
      </c>
      <c r="K79" s="4">
        <f>IF(OR(A79="",B79=""),"",共通設定!$B$4&amp;"/"&amp;A79&amp;"_c"&amp;TEXT(B79,"00"))</f>
        <v/>
      </c>
      <c r="L79" s="4">
        <f>IF(IFERROR(VLOOKUP(C79,キャラ!$A:$E,4,FALSE),"")="","",IFERROR(VLOOKUP(C79,キャラ!$A:$E,4,FALSE),"")&amp;"（"&amp;IF(D79="",IFERROR(VLOOKUP(C79,キャラ!$A:$E,5,FALSE),""),0.5)&amp;"）")&amp;IF(IFERROR(VLOOKUP(D79,キャラ!$A:$E,4,FALSE),"")="",""," / "&amp;IFERROR(VLOOKUP(D79,キャラ!$A:$E,4,FALSE),"")&amp;"（0.5）")</f>
        <v/>
      </c>
      <c r="M79" s="3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4">
        <f>IF(AND(C80="",F80=""),"",_xlfn.TEXTJOIN(", ",TRUE,共通設定!$B$2,E80,IFERROR(VLOOKUP(C80,キャラ!$A:$E,2,FALSE),""),IFERROR(VLOOKUP(C80,キャラ!$A:$E,3,FALSE),""),IFERROR(VLOOKUP(D80,キャラ!$A:$E,2,FALSE),""),IFERROR(VLOOKUP(D80,キャラ!$A:$E,3,FALSE),""),F80,G80,H80,I80))</f>
        <v/>
      </c>
      <c r="K80" s="4">
        <f>IF(OR(A80="",B80=""),"",共通設定!$B$4&amp;"/"&amp;A80&amp;"_c"&amp;TEXT(B80,"00"))</f>
        <v/>
      </c>
      <c r="L80" s="4">
        <f>IF(IFERROR(VLOOKUP(C80,キャラ!$A:$E,4,FALSE),"")="","",IFERROR(VLOOKUP(C80,キャラ!$A:$E,4,FALSE),"")&amp;"（"&amp;IF(D80="",IFERROR(VLOOKUP(C80,キャラ!$A:$E,5,FALSE),""),0.5)&amp;"）")&amp;IF(IFERROR(VLOOKUP(D80,キャラ!$A:$E,4,FALSE),"")="",""," / "&amp;IFERROR(VLOOKUP(D80,キャラ!$A:$E,4,FALSE),"")&amp;"（0.5）")</f>
        <v/>
      </c>
      <c r="M80" s="3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4">
        <f>IF(AND(C81="",F81=""),"",_xlfn.TEXTJOIN(", ",TRUE,共通設定!$B$2,E81,IFERROR(VLOOKUP(C81,キャラ!$A:$E,2,FALSE),""),IFERROR(VLOOKUP(C81,キャラ!$A:$E,3,FALSE),""),IFERROR(VLOOKUP(D81,キャラ!$A:$E,2,FALSE),""),IFERROR(VLOOKUP(D81,キャラ!$A:$E,3,FALSE),""),F81,G81,H81,I81))</f>
        <v/>
      </c>
      <c r="K81" s="4">
        <f>IF(OR(A81="",B81=""),"",共通設定!$B$4&amp;"/"&amp;A81&amp;"_c"&amp;TEXT(B81,"00"))</f>
        <v/>
      </c>
      <c r="L81" s="4">
        <f>IF(IFERROR(VLOOKUP(C81,キャラ!$A:$E,4,FALSE),"")="","",IFERROR(VLOOKUP(C81,キャラ!$A:$E,4,FALSE),"")&amp;"（"&amp;IF(D81="",IFERROR(VLOOKUP(C81,キャラ!$A:$E,5,FALSE),""),0.5)&amp;"）")&amp;IF(IFERROR(VLOOKUP(D81,キャラ!$A:$E,4,FALSE),"")="",""," / "&amp;IFERROR(VLOOKUP(D81,キャラ!$A:$E,4,FALSE),"")&amp;"（0.5）")</f>
        <v/>
      </c>
      <c r="M81" s="3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4">
        <f>IF(AND(C82="",F82=""),"",_xlfn.TEXTJOIN(", ",TRUE,共通設定!$B$2,E82,IFERROR(VLOOKUP(C82,キャラ!$A:$E,2,FALSE),""),IFERROR(VLOOKUP(C82,キャラ!$A:$E,3,FALSE),""),IFERROR(VLOOKUP(D82,キャラ!$A:$E,2,FALSE),""),IFERROR(VLOOKUP(D82,キャラ!$A:$E,3,FALSE),""),F82,G82,H82,I82))</f>
        <v/>
      </c>
      <c r="K82" s="4">
        <f>IF(OR(A82="",B82=""),"",共通設定!$B$4&amp;"/"&amp;A82&amp;"_c"&amp;TEXT(B82,"00"))</f>
        <v/>
      </c>
      <c r="L82" s="4">
        <f>IF(IFERROR(VLOOKUP(C82,キャラ!$A:$E,4,FALSE),"")="","",IFERROR(VLOOKUP(C82,キャラ!$A:$E,4,FALSE),"")&amp;"（"&amp;IF(D82="",IFERROR(VLOOKUP(C82,キャラ!$A:$E,5,FALSE),""),0.5)&amp;"）")&amp;IF(IFERROR(VLOOKUP(D82,キャラ!$A:$E,4,FALSE),"")="",""," / "&amp;IFERROR(VLOOKUP(D82,キャラ!$A:$E,4,FALSE),"")&amp;"（0.5）")</f>
        <v/>
      </c>
      <c r="M82" s="3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4">
        <f>IF(AND(C83="",F83=""),"",_xlfn.TEXTJOIN(", ",TRUE,共通設定!$B$2,E83,IFERROR(VLOOKUP(C83,キャラ!$A:$E,2,FALSE),""),IFERROR(VLOOKUP(C83,キャラ!$A:$E,3,FALSE),""),IFERROR(VLOOKUP(D83,キャラ!$A:$E,2,FALSE),""),IFERROR(VLOOKUP(D83,キャラ!$A:$E,3,FALSE),""),F83,G83,H83,I83))</f>
        <v/>
      </c>
      <c r="K83" s="4">
        <f>IF(OR(A83="",B83=""),"",共通設定!$B$4&amp;"/"&amp;A83&amp;"_c"&amp;TEXT(B83,"00"))</f>
        <v/>
      </c>
      <c r="L83" s="4">
        <f>IF(IFERROR(VLOOKUP(C83,キャラ!$A:$E,4,FALSE),"")="","",IFERROR(VLOOKUP(C83,キャラ!$A:$E,4,FALSE),"")&amp;"（"&amp;IF(D83="",IFERROR(VLOOKUP(C83,キャラ!$A:$E,5,FALSE),""),0.5)&amp;"）")&amp;IF(IFERROR(VLOOKUP(D83,キャラ!$A:$E,4,FALSE),"")="",""," / "&amp;IFERROR(VLOOKUP(D83,キャラ!$A:$E,4,FALSE),"")&amp;"（0.5）")</f>
        <v/>
      </c>
      <c r="M83" s="3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4">
        <f>IF(AND(C84="",F84=""),"",_xlfn.TEXTJOIN(", ",TRUE,共通設定!$B$2,E84,IFERROR(VLOOKUP(C84,キャラ!$A:$E,2,FALSE),""),IFERROR(VLOOKUP(C84,キャラ!$A:$E,3,FALSE),""),IFERROR(VLOOKUP(D84,キャラ!$A:$E,2,FALSE),""),IFERROR(VLOOKUP(D84,キャラ!$A:$E,3,FALSE),""),F84,G84,H84,I84))</f>
        <v/>
      </c>
      <c r="K84" s="4">
        <f>IF(OR(A84="",B84=""),"",共通設定!$B$4&amp;"/"&amp;A84&amp;"_c"&amp;TEXT(B84,"00"))</f>
        <v/>
      </c>
      <c r="L84" s="4">
        <f>IF(IFERROR(VLOOKUP(C84,キャラ!$A:$E,4,FALSE),"")="","",IFERROR(VLOOKUP(C84,キャラ!$A:$E,4,FALSE),"")&amp;"（"&amp;IF(D84="",IFERROR(VLOOKUP(C84,キャラ!$A:$E,5,FALSE),""),0.5)&amp;"）")&amp;IF(IFERROR(VLOOKUP(D84,キャラ!$A:$E,4,FALSE),"")="",""," / "&amp;IFERROR(VLOOKUP(D84,キャラ!$A:$E,4,FALSE),"")&amp;"（0.5）")</f>
        <v/>
      </c>
      <c r="M84" s="3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4">
        <f>IF(AND(C85="",F85=""),"",_xlfn.TEXTJOIN(", ",TRUE,共通設定!$B$2,E85,IFERROR(VLOOKUP(C85,キャラ!$A:$E,2,FALSE),""),IFERROR(VLOOKUP(C85,キャラ!$A:$E,3,FALSE),""),IFERROR(VLOOKUP(D85,キャラ!$A:$E,2,FALSE),""),IFERROR(VLOOKUP(D85,キャラ!$A:$E,3,FALSE),""),F85,G85,H85,I85))</f>
        <v/>
      </c>
      <c r="K85" s="4">
        <f>IF(OR(A85="",B85=""),"",共通設定!$B$4&amp;"/"&amp;A85&amp;"_c"&amp;TEXT(B85,"00"))</f>
        <v/>
      </c>
      <c r="L85" s="4">
        <f>IF(IFERROR(VLOOKUP(C85,キャラ!$A:$E,4,FALSE),"")="","",IFERROR(VLOOKUP(C85,キャラ!$A:$E,4,FALSE),"")&amp;"（"&amp;IF(D85="",IFERROR(VLOOKUP(C85,キャラ!$A:$E,5,FALSE),""),0.5)&amp;"）")&amp;IF(IFERROR(VLOOKUP(D85,キャラ!$A:$E,4,FALSE),"")="",""," / "&amp;IFERROR(VLOOKUP(D85,キャラ!$A:$E,4,FALSE),"")&amp;"（0.5）")</f>
        <v/>
      </c>
      <c r="M85" s="3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4">
        <f>IF(AND(C86="",F86=""),"",_xlfn.TEXTJOIN(", ",TRUE,共通設定!$B$2,E86,IFERROR(VLOOKUP(C86,キャラ!$A:$E,2,FALSE),""),IFERROR(VLOOKUP(C86,キャラ!$A:$E,3,FALSE),""),IFERROR(VLOOKUP(D86,キャラ!$A:$E,2,FALSE),""),IFERROR(VLOOKUP(D86,キャラ!$A:$E,3,FALSE),""),F86,G86,H86,I86))</f>
        <v/>
      </c>
      <c r="K86" s="4">
        <f>IF(OR(A86="",B86=""),"",共通設定!$B$4&amp;"/"&amp;A86&amp;"_c"&amp;TEXT(B86,"00"))</f>
        <v/>
      </c>
      <c r="L86" s="4">
        <f>IF(IFERROR(VLOOKUP(C86,キャラ!$A:$E,4,FALSE),"")="","",IFERROR(VLOOKUP(C86,キャラ!$A:$E,4,FALSE),"")&amp;"（"&amp;IF(D86="",IFERROR(VLOOKUP(C86,キャラ!$A:$E,5,FALSE),""),0.5)&amp;"）")&amp;IF(IFERROR(VLOOKUP(D86,キャラ!$A:$E,4,FALSE),"")="",""," / "&amp;IFERROR(VLOOKUP(D86,キャラ!$A:$E,4,FALSE),"")&amp;"（0.5）")</f>
        <v/>
      </c>
      <c r="M86" s="3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4">
        <f>IF(AND(C87="",F87=""),"",_xlfn.TEXTJOIN(", ",TRUE,共通設定!$B$2,E87,IFERROR(VLOOKUP(C87,キャラ!$A:$E,2,FALSE),""),IFERROR(VLOOKUP(C87,キャラ!$A:$E,3,FALSE),""),IFERROR(VLOOKUP(D87,キャラ!$A:$E,2,FALSE),""),IFERROR(VLOOKUP(D87,キャラ!$A:$E,3,FALSE),""),F87,G87,H87,I87))</f>
        <v/>
      </c>
      <c r="K87" s="4">
        <f>IF(OR(A87="",B87=""),"",共通設定!$B$4&amp;"/"&amp;A87&amp;"_c"&amp;TEXT(B87,"00"))</f>
        <v/>
      </c>
      <c r="L87" s="4">
        <f>IF(IFERROR(VLOOKUP(C87,キャラ!$A:$E,4,FALSE),"")="","",IFERROR(VLOOKUP(C87,キャラ!$A:$E,4,FALSE),"")&amp;"（"&amp;IF(D87="",IFERROR(VLOOKUP(C87,キャラ!$A:$E,5,FALSE),""),0.5)&amp;"）")&amp;IF(IFERROR(VLOOKUP(D87,キャラ!$A:$E,4,FALSE),"")="",""," / "&amp;IFERROR(VLOOKUP(D87,キャラ!$A:$E,4,FALSE),"")&amp;"（0.5）")</f>
        <v/>
      </c>
      <c r="M87" s="3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4">
        <f>IF(AND(C88="",F88=""),"",_xlfn.TEXTJOIN(", ",TRUE,共通設定!$B$2,E88,IFERROR(VLOOKUP(C88,キャラ!$A:$E,2,FALSE),""),IFERROR(VLOOKUP(C88,キャラ!$A:$E,3,FALSE),""),IFERROR(VLOOKUP(D88,キャラ!$A:$E,2,FALSE),""),IFERROR(VLOOKUP(D88,キャラ!$A:$E,3,FALSE),""),F88,G88,H88,I88))</f>
        <v/>
      </c>
      <c r="K88" s="4">
        <f>IF(OR(A88="",B88=""),"",共通設定!$B$4&amp;"/"&amp;A88&amp;"_c"&amp;TEXT(B88,"00"))</f>
        <v/>
      </c>
      <c r="L88" s="4">
        <f>IF(IFERROR(VLOOKUP(C88,キャラ!$A:$E,4,FALSE),"")="","",IFERROR(VLOOKUP(C88,キャラ!$A:$E,4,FALSE),"")&amp;"（"&amp;IF(D88="",IFERROR(VLOOKUP(C88,キャラ!$A:$E,5,FALSE),""),0.5)&amp;"）")&amp;IF(IFERROR(VLOOKUP(D88,キャラ!$A:$E,4,FALSE),"")="",""," / "&amp;IFERROR(VLOOKUP(D88,キャラ!$A:$E,4,FALSE),"")&amp;"（0.5）")</f>
        <v/>
      </c>
      <c r="M88" s="3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4">
        <f>IF(AND(C89="",F89=""),"",_xlfn.TEXTJOIN(", ",TRUE,共通設定!$B$2,E89,IFERROR(VLOOKUP(C89,キャラ!$A:$E,2,FALSE),""),IFERROR(VLOOKUP(C89,キャラ!$A:$E,3,FALSE),""),IFERROR(VLOOKUP(D89,キャラ!$A:$E,2,FALSE),""),IFERROR(VLOOKUP(D89,キャラ!$A:$E,3,FALSE),""),F89,G89,H89,I89))</f>
        <v/>
      </c>
      <c r="K89" s="4">
        <f>IF(OR(A89="",B89=""),"",共通設定!$B$4&amp;"/"&amp;A89&amp;"_c"&amp;TEXT(B89,"00"))</f>
        <v/>
      </c>
      <c r="L89" s="4">
        <f>IF(IFERROR(VLOOKUP(C89,キャラ!$A:$E,4,FALSE),"")="","",IFERROR(VLOOKUP(C89,キャラ!$A:$E,4,FALSE),"")&amp;"（"&amp;IF(D89="",IFERROR(VLOOKUP(C89,キャラ!$A:$E,5,FALSE),""),0.5)&amp;"）")&amp;IF(IFERROR(VLOOKUP(D89,キャラ!$A:$E,4,FALSE),"")="",""," / "&amp;IFERROR(VLOOKUP(D89,キャラ!$A:$E,4,FALSE),"")&amp;"（0.5）")</f>
        <v/>
      </c>
      <c r="M89" s="3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4">
        <f>IF(AND(C90="",F90=""),"",_xlfn.TEXTJOIN(", ",TRUE,共通設定!$B$2,E90,IFERROR(VLOOKUP(C90,キャラ!$A:$E,2,FALSE),""),IFERROR(VLOOKUP(C90,キャラ!$A:$E,3,FALSE),""),IFERROR(VLOOKUP(D90,キャラ!$A:$E,2,FALSE),""),IFERROR(VLOOKUP(D90,キャラ!$A:$E,3,FALSE),""),F90,G90,H90,I90))</f>
        <v/>
      </c>
      <c r="K90" s="4">
        <f>IF(OR(A90="",B90=""),"",共通設定!$B$4&amp;"/"&amp;A90&amp;"_c"&amp;TEXT(B90,"00"))</f>
        <v/>
      </c>
      <c r="L90" s="4">
        <f>IF(IFERROR(VLOOKUP(C90,キャラ!$A:$E,4,FALSE),"")="","",IFERROR(VLOOKUP(C90,キャラ!$A:$E,4,FALSE),"")&amp;"（"&amp;IF(D90="",IFERROR(VLOOKUP(C90,キャラ!$A:$E,5,FALSE),""),0.5)&amp;"）")&amp;IF(IFERROR(VLOOKUP(D90,キャラ!$A:$E,4,FALSE),"")="",""," / "&amp;IFERROR(VLOOKUP(D90,キャラ!$A:$E,4,FALSE),"")&amp;"（0.5）")</f>
        <v/>
      </c>
      <c r="M90" s="3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4">
        <f>IF(AND(C91="",F91=""),"",_xlfn.TEXTJOIN(", ",TRUE,共通設定!$B$2,E91,IFERROR(VLOOKUP(C91,キャラ!$A:$E,2,FALSE),""),IFERROR(VLOOKUP(C91,キャラ!$A:$E,3,FALSE),""),IFERROR(VLOOKUP(D91,キャラ!$A:$E,2,FALSE),""),IFERROR(VLOOKUP(D91,キャラ!$A:$E,3,FALSE),""),F91,G91,H91,I91))</f>
        <v/>
      </c>
      <c r="K91" s="4">
        <f>IF(OR(A91="",B91=""),"",共通設定!$B$4&amp;"/"&amp;A91&amp;"_c"&amp;TEXT(B91,"00"))</f>
        <v/>
      </c>
      <c r="L91" s="4">
        <f>IF(IFERROR(VLOOKUP(C91,キャラ!$A:$E,4,FALSE),"")="","",IFERROR(VLOOKUP(C91,キャラ!$A:$E,4,FALSE),"")&amp;"（"&amp;IF(D91="",IFERROR(VLOOKUP(C91,キャラ!$A:$E,5,FALSE),""),0.5)&amp;"）")&amp;IF(IFERROR(VLOOKUP(D91,キャラ!$A:$E,4,FALSE),"")="",""," / "&amp;IFERROR(VLOOKUP(D91,キャラ!$A:$E,4,FALSE),"")&amp;"（0.5）")</f>
        <v/>
      </c>
      <c r="M91" s="3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4">
        <f>IF(AND(C92="",F92=""),"",_xlfn.TEXTJOIN(", ",TRUE,共通設定!$B$2,E92,IFERROR(VLOOKUP(C92,キャラ!$A:$E,2,FALSE),""),IFERROR(VLOOKUP(C92,キャラ!$A:$E,3,FALSE),""),IFERROR(VLOOKUP(D92,キャラ!$A:$E,2,FALSE),""),IFERROR(VLOOKUP(D92,キャラ!$A:$E,3,FALSE),""),F92,G92,H92,I92))</f>
        <v/>
      </c>
      <c r="K92" s="4">
        <f>IF(OR(A92="",B92=""),"",共通設定!$B$4&amp;"/"&amp;A92&amp;"_c"&amp;TEXT(B92,"00"))</f>
        <v/>
      </c>
      <c r="L92" s="4">
        <f>IF(IFERROR(VLOOKUP(C92,キャラ!$A:$E,4,FALSE),"")="","",IFERROR(VLOOKUP(C92,キャラ!$A:$E,4,FALSE),"")&amp;"（"&amp;IF(D92="",IFERROR(VLOOKUP(C92,キャラ!$A:$E,5,FALSE),""),0.5)&amp;"）")&amp;IF(IFERROR(VLOOKUP(D92,キャラ!$A:$E,4,FALSE),"")="",""," / "&amp;IFERROR(VLOOKUP(D92,キャラ!$A:$E,4,FALSE),"")&amp;"（0.5）")</f>
        <v/>
      </c>
      <c r="M92" s="3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4">
        <f>IF(AND(C93="",F93=""),"",_xlfn.TEXTJOIN(", ",TRUE,共通設定!$B$2,E93,IFERROR(VLOOKUP(C93,キャラ!$A:$E,2,FALSE),""),IFERROR(VLOOKUP(C93,キャラ!$A:$E,3,FALSE),""),IFERROR(VLOOKUP(D93,キャラ!$A:$E,2,FALSE),""),IFERROR(VLOOKUP(D93,キャラ!$A:$E,3,FALSE),""),F93,G93,H93,I93))</f>
        <v/>
      </c>
      <c r="K93" s="4">
        <f>IF(OR(A93="",B93=""),"",共通設定!$B$4&amp;"/"&amp;A93&amp;"_c"&amp;TEXT(B93,"00"))</f>
        <v/>
      </c>
      <c r="L93" s="4">
        <f>IF(IFERROR(VLOOKUP(C93,キャラ!$A:$E,4,FALSE),"")="","",IFERROR(VLOOKUP(C93,キャラ!$A:$E,4,FALSE),"")&amp;"（"&amp;IF(D93="",IFERROR(VLOOKUP(C93,キャラ!$A:$E,5,FALSE),""),0.5)&amp;"）")&amp;IF(IFERROR(VLOOKUP(D93,キャラ!$A:$E,4,FALSE),"")="",""," / "&amp;IFERROR(VLOOKUP(D93,キャラ!$A:$E,4,FALSE),"")&amp;"（0.5）")</f>
        <v/>
      </c>
      <c r="M93" s="3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4">
        <f>IF(AND(C94="",F94=""),"",_xlfn.TEXTJOIN(", ",TRUE,共通設定!$B$2,E94,IFERROR(VLOOKUP(C94,キャラ!$A:$E,2,FALSE),""),IFERROR(VLOOKUP(C94,キャラ!$A:$E,3,FALSE),""),IFERROR(VLOOKUP(D94,キャラ!$A:$E,2,FALSE),""),IFERROR(VLOOKUP(D94,キャラ!$A:$E,3,FALSE),""),F94,G94,H94,I94))</f>
        <v/>
      </c>
      <c r="K94" s="4">
        <f>IF(OR(A94="",B94=""),"",共通設定!$B$4&amp;"/"&amp;A94&amp;"_c"&amp;TEXT(B94,"00"))</f>
        <v/>
      </c>
      <c r="L94" s="4">
        <f>IF(IFERROR(VLOOKUP(C94,キャラ!$A:$E,4,FALSE),"")="","",IFERROR(VLOOKUP(C94,キャラ!$A:$E,4,FALSE),"")&amp;"（"&amp;IF(D94="",IFERROR(VLOOKUP(C94,キャラ!$A:$E,5,FALSE),""),0.5)&amp;"）")&amp;IF(IFERROR(VLOOKUP(D94,キャラ!$A:$E,4,FALSE),"")="",""," / "&amp;IFERROR(VLOOKUP(D94,キャラ!$A:$E,4,FALSE),"")&amp;"（0.5）")</f>
        <v/>
      </c>
      <c r="M94" s="3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4">
        <f>IF(AND(C95="",F95=""),"",_xlfn.TEXTJOIN(", ",TRUE,共通設定!$B$2,E95,IFERROR(VLOOKUP(C95,キャラ!$A:$E,2,FALSE),""),IFERROR(VLOOKUP(C95,キャラ!$A:$E,3,FALSE),""),IFERROR(VLOOKUP(D95,キャラ!$A:$E,2,FALSE),""),IFERROR(VLOOKUP(D95,キャラ!$A:$E,3,FALSE),""),F95,G95,H95,I95))</f>
        <v/>
      </c>
      <c r="K95" s="4">
        <f>IF(OR(A95="",B95=""),"",共通設定!$B$4&amp;"/"&amp;A95&amp;"_c"&amp;TEXT(B95,"00"))</f>
        <v/>
      </c>
      <c r="L95" s="4">
        <f>IF(IFERROR(VLOOKUP(C95,キャラ!$A:$E,4,FALSE),"")="","",IFERROR(VLOOKUP(C95,キャラ!$A:$E,4,FALSE),"")&amp;"（"&amp;IF(D95="",IFERROR(VLOOKUP(C95,キャラ!$A:$E,5,FALSE),""),0.5)&amp;"）")&amp;IF(IFERROR(VLOOKUP(D95,キャラ!$A:$E,4,FALSE),"")="",""," / "&amp;IFERROR(VLOOKUP(D95,キャラ!$A:$E,4,FALSE),"")&amp;"（0.5）")</f>
        <v/>
      </c>
      <c r="M95" s="3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4">
        <f>IF(AND(C96="",F96=""),"",_xlfn.TEXTJOIN(", ",TRUE,共通設定!$B$2,E96,IFERROR(VLOOKUP(C96,キャラ!$A:$E,2,FALSE),""),IFERROR(VLOOKUP(C96,キャラ!$A:$E,3,FALSE),""),IFERROR(VLOOKUP(D96,キャラ!$A:$E,2,FALSE),""),IFERROR(VLOOKUP(D96,キャラ!$A:$E,3,FALSE),""),F96,G96,H96,I96))</f>
        <v/>
      </c>
      <c r="K96" s="4">
        <f>IF(OR(A96="",B96=""),"",共通設定!$B$4&amp;"/"&amp;A96&amp;"_c"&amp;TEXT(B96,"00"))</f>
        <v/>
      </c>
      <c r="L96" s="4">
        <f>IF(IFERROR(VLOOKUP(C96,キャラ!$A:$E,4,FALSE),"")="","",IFERROR(VLOOKUP(C96,キャラ!$A:$E,4,FALSE),"")&amp;"（"&amp;IF(D96="",IFERROR(VLOOKUP(C96,キャラ!$A:$E,5,FALSE),""),0.5)&amp;"）")&amp;IF(IFERROR(VLOOKUP(D96,キャラ!$A:$E,4,FALSE),"")="",""," / "&amp;IFERROR(VLOOKUP(D96,キャラ!$A:$E,4,FALSE),"")&amp;"（0.5）")</f>
        <v/>
      </c>
      <c r="M96" s="3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4">
        <f>IF(AND(C97="",F97=""),"",_xlfn.TEXTJOIN(", ",TRUE,共通設定!$B$2,E97,IFERROR(VLOOKUP(C97,キャラ!$A:$E,2,FALSE),""),IFERROR(VLOOKUP(C97,キャラ!$A:$E,3,FALSE),""),IFERROR(VLOOKUP(D97,キャラ!$A:$E,2,FALSE),""),IFERROR(VLOOKUP(D97,キャラ!$A:$E,3,FALSE),""),F97,G97,H97,I97))</f>
        <v/>
      </c>
      <c r="K97" s="4">
        <f>IF(OR(A97="",B97=""),"",共通設定!$B$4&amp;"/"&amp;A97&amp;"_c"&amp;TEXT(B97,"00"))</f>
        <v/>
      </c>
      <c r="L97" s="4">
        <f>IF(IFERROR(VLOOKUP(C97,キャラ!$A:$E,4,FALSE),"")="","",IFERROR(VLOOKUP(C97,キャラ!$A:$E,4,FALSE),"")&amp;"（"&amp;IF(D97="",IFERROR(VLOOKUP(C97,キャラ!$A:$E,5,FALSE),""),0.5)&amp;"）")&amp;IF(IFERROR(VLOOKUP(D97,キャラ!$A:$E,4,FALSE),"")="",""," / "&amp;IFERROR(VLOOKUP(D97,キャラ!$A:$E,4,FALSE),"")&amp;"（0.5）")</f>
        <v/>
      </c>
      <c r="M97" s="3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4">
        <f>IF(AND(C98="",F98=""),"",_xlfn.TEXTJOIN(", ",TRUE,共通設定!$B$2,E98,IFERROR(VLOOKUP(C98,キャラ!$A:$E,2,FALSE),""),IFERROR(VLOOKUP(C98,キャラ!$A:$E,3,FALSE),""),IFERROR(VLOOKUP(D98,キャラ!$A:$E,2,FALSE),""),IFERROR(VLOOKUP(D98,キャラ!$A:$E,3,FALSE),""),F98,G98,H98,I98))</f>
        <v/>
      </c>
      <c r="K98" s="4">
        <f>IF(OR(A98="",B98=""),"",共通設定!$B$4&amp;"/"&amp;A98&amp;"_c"&amp;TEXT(B98,"00"))</f>
        <v/>
      </c>
      <c r="L98" s="4">
        <f>IF(IFERROR(VLOOKUP(C98,キャラ!$A:$E,4,FALSE),"")="","",IFERROR(VLOOKUP(C98,キャラ!$A:$E,4,FALSE),"")&amp;"（"&amp;IF(D98="",IFERROR(VLOOKUP(C98,キャラ!$A:$E,5,FALSE),""),0.5)&amp;"）")&amp;IF(IFERROR(VLOOKUP(D98,キャラ!$A:$E,4,FALSE),"")="",""," / "&amp;IFERROR(VLOOKUP(D98,キャラ!$A:$E,4,FALSE),"")&amp;"（0.5）")</f>
        <v/>
      </c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4">
        <f>IF(AND(C99="",F99=""),"",_xlfn.TEXTJOIN(", ",TRUE,共通設定!$B$2,E99,IFERROR(VLOOKUP(C99,キャラ!$A:$E,2,FALSE),""),IFERROR(VLOOKUP(C99,キャラ!$A:$E,3,FALSE),""),IFERROR(VLOOKUP(D99,キャラ!$A:$E,2,FALSE),""),IFERROR(VLOOKUP(D99,キャラ!$A:$E,3,FALSE),""),F99,G99,H99,I99))</f>
        <v/>
      </c>
      <c r="K99" s="4">
        <f>IF(OR(A99="",B99=""),"",共通設定!$B$4&amp;"/"&amp;A99&amp;"_c"&amp;TEXT(B99,"00"))</f>
        <v/>
      </c>
      <c r="L99" s="4">
        <f>IF(IFERROR(VLOOKUP(C99,キャラ!$A:$E,4,FALSE),"")="","",IFERROR(VLOOKUP(C99,キャラ!$A:$E,4,FALSE),"")&amp;"（"&amp;IF(D99="",IFERROR(VLOOKUP(C99,キャラ!$A:$E,5,FALSE),""),0.5)&amp;"）")&amp;IF(IFERROR(VLOOKUP(D99,キャラ!$A:$E,4,FALSE),"")="",""," / "&amp;IFERROR(VLOOKUP(D99,キャラ!$A:$E,4,FALSE),"")&amp;"（0.5）")</f>
        <v/>
      </c>
      <c r="M99" s="3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4">
        <f>IF(AND(C100="",F100=""),"",_xlfn.TEXTJOIN(", ",TRUE,共通設定!$B$2,E100,IFERROR(VLOOKUP(C100,キャラ!$A:$E,2,FALSE),""),IFERROR(VLOOKUP(C100,キャラ!$A:$E,3,FALSE),""),IFERROR(VLOOKUP(D100,キャラ!$A:$E,2,FALSE),""),IFERROR(VLOOKUP(D100,キャラ!$A:$E,3,FALSE),""),F100,G100,H100,I100))</f>
        <v/>
      </c>
      <c r="K100" s="4">
        <f>IF(OR(A100="",B100=""),"",共通設定!$B$4&amp;"/"&amp;A100&amp;"_c"&amp;TEXT(B100,"00"))</f>
        <v/>
      </c>
      <c r="L100" s="4">
        <f>IF(IFERROR(VLOOKUP(C100,キャラ!$A:$E,4,FALSE),"")="","",IFERROR(VLOOKUP(C100,キャラ!$A:$E,4,FALSE),"")&amp;"（"&amp;IF(D100="",IFERROR(VLOOKUP(C100,キャラ!$A:$E,5,FALSE),""),0.5)&amp;"）")&amp;IF(IFERROR(VLOOKUP(D100,キャラ!$A:$E,4,FALSE),"")="",""," / "&amp;IFERROR(VLOOKUP(D100,キャラ!$A:$E,4,FALSE),"")&amp;"（0.5）")</f>
        <v/>
      </c>
      <c r="M100" s="3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4">
        <f>IF(AND(C101="",F101=""),"",_xlfn.TEXTJOIN(", ",TRUE,共通設定!$B$2,E101,IFERROR(VLOOKUP(C101,キャラ!$A:$E,2,FALSE),""),IFERROR(VLOOKUP(C101,キャラ!$A:$E,3,FALSE),""),IFERROR(VLOOKUP(D101,キャラ!$A:$E,2,FALSE),""),IFERROR(VLOOKUP(D101,キャラ!$A:$E,3,FALSE),""),F101,G101,H101,I101))</f>
        <v/>
      </c>
      <c r="K101" s="4">
        <f>IF(OR(A101="",B101=""),"",共通設定!$B$4&amp;"/"&amp;A101&amp;"_c"&amp;TEXT(B101,"00"))</f>
        <v/>
      </c>
      <c r="L101" s="4">
        <f>IF(IFERROR(VLOOKUP(C101,キャラ!$A:$E,4,FALSE),"")="","",IFERROR(VLOOKUP(C101,キャラ!$A:$E,4,FALSE),"")&amp;"（"&amp;IF(D101="",IFERROR(VLOOKUP(C101,キャラ!$A:$E,5,FALSE),""),0.5)&amp;"）")&amp;IF(IFERROR(VLOOKUP(D101,キャラ!$A:$E,4,FALSE),"")="",""," / "&amp;IFERROR(VLOOKUP(D101,キャラ!$A:$E,4,FALSE),"")&amp;"（0.5）")</f>
        <v/>
      </c>
      <c r="M101" s="3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>
        <f>IF(AND(C102="",F102=""),"",_xlfn.TEXTJOIN(", ",TRUE,共通設定!$B$2,E102,IFERROR(VLOOKUP(C102,キャラ!$A:$E,2,FALSE),""),IFERROR(VLOOKUP(C102,キャラ!$A:$E,3,FALSE),""),IFERROR(VLOOKUP(D102,キャラ!$A:$E,2,FALSE),""),IFERROR(VLOOKUP(D102,キャラ!$A:$E,3,FALSE),""),F102,G102,H102,I102))</f>
        <v/>
      </c>
      <c r="K102" s="4">
        <f>IF(OR(A102="",B102=""),"",共通設定!$B$4&amp;"/"&amp;A102&amp;"_c"&amp;TEXT(B102,"00"))</f>
        <v/>
      </c>
      <c r="L102" s="4">
        <f>IF(IFERROR(VLOOKUP(C102,キャラ!$A:$E,4,FALSE),"")="","",IFERROR(VLOOKUP(C102,キャラ!$A:$E,4,FALSE),"")&amp;"（"&amp;IF(D102="",IFERROR(VLOOKUP(C102,キャラ!$A:$E,5,FALSE),""),0.5)&amp;"）")&amp;IF(IFERROR(VLOOKUP(D102,キャラ!$A:$E,4,FALSE),"")="",""," / "&amp;IFERROR(VLOOKUP(D102,キャラ!$A:$E,4,FALSE),"")&amp;"（0.5）")</f>
        <v/>
      </c>
      <c r="M102" s="3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4">
        <f>IF(AND(C103="",F103=""),"",_xlfn.TEXTJOIN(", ",TRUE,共通設定!$B$2,E103,IFERROR(VLOOKUP(C103,キャラ!$A:$E,2,FALSE),""),IFERROR(VLOOKUP(C103,キャラ!$A:$E,3,FALSE),""),IFERROR(VLOOKUP(D103,キャラ!$A:$E,2,FALSE),""),IFERROR(VLOOKUP(D103,キャラ!$A:$E,3,FALSE),""),F103,G103,H103,I103))</f>
        <v/>
      </c>
      <c r="K103" s="4">
        <f>IF(OR(A103="",B103=""),"",共通設定!$B$4&amp;"/"&amp;A103&amp;"_c"&amp;TEXT(B103,"00"))</f>
        <v/>
      </c>
      <c r="L103" s="4">
        <f>IF(IFERROR(VLOOKUP(C103,キャラ!$A:$E,4,FALSE),"")="","",IFERROR(VLOOKUP(C103,キャラ!$A:$E,4,FALSE),"")&amp;"（"&amp;IF(D103="",IFERROR(VLOOKUP(C103,キャラ!$A:$E,5,FALSE),""),0.5)&amp;"）")&amp;IF(IFERROR(VLOOKUP(D103,キャラ!$A:$E,4,FALSE),"")="",""," / "&amp;IFERROR(VLOOKUP(D103,キャラ!$A:$E,4,FALSE),"")&amp;"（0.5）")</f>
        <v/>
      </c>
      <c r="M103" s="3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4">
        <f>IF(AND(C104="",F104=""),"",_xlfn.TEXTJOIN(", ",TRUE,共通設定!$B$2,E104,IFERROR(VLOOKUP(C104,キャラ!$A:$E,2,FALSE),""),IFERROR(VLOOKUP(C104,キャラ!$A:$E,3,FALSE),""),IFERROR(VLOOKUP(D104,キャラ!$A:$E,2,FALSE),""),IFERROR(VLOOKUP(D104,キャラ!$A:$E,3,FALSE),""),F104,G104,H104,I104))</f>
        <v/>
      </c>
      <c r="K104" s="4">
        <f>IF(OR(A104="",B104=""),"",共通設定!$B$4&amp;"/"&amp;A104&amp;"_c"&amp;TEXT(B104,"00"))</f>
        <v/>
      </c>
      <c r="L104" s="4">
        <f>IF(IFERROR(VLOOKUP(C104,キャラ!$A:$E,4,FALSE),"")="","",IFERROR(VLOOKUP(C104,キャラ!$A:$E,4,FALSE),"")&amp;"（"&amp;IF(D104="",IFERROR(VLOOKUP(C104,キャラ!$A:$E,5,FALSE),""),0.5)&amp;"）")&amp;IF(IFERROR(VLOOKUP(D104,キャラ!$A:$E,4,FALSE),"")="",""," / "&amp;IFERROR(VLOOKUP(D104,キャラ!$A:$E,4,FALSE),"")&amp;"（0.5）")</f>
        <v/>
      </c>
      <c r="M104" s="3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4">
        <f>IF(AND(C105="",F105=""),"",_xlfn.TEXTJOIN(", ",TRUE,共通設定!$B$2,E105,IFERROR(VLOOKUP(C105,キャラ!$A:$E,2,FALSE),""),IFERROR(VLOOKUP(C105,キャラ!$A:$E,3,FALSE),""),IFERROR(VLOOKUP(D105,キャラ!$A:$E,2,FALSE),""),IFERROR(VLOOKUP(D105,キャラ!$A:$E,3,FALSE),""),F105,G105,H105,I105))</f>
        <v/>
      </c>
      <c r="K105" s="4">
        <f>IF(OR(A105="",B105=""),"",共通設定!$B$4&amp;"/"&amp;A105&amp;"_c"&amp;TEXT(B105,"00"))</f>
        <v/>
      </c>
      <c r="L105" s="4">
        <f>IF(IFERROR(VLOOKUP(C105,キャラ!$A:$E,4,FALSE),"")="","",IFERROR(VLOOKUP(C105,キャラ!$A:$E,4,FALSE),"")&amp;"（"&amp;IF(D105="",IFERROR(VLOOKUP(C105,キャラ!$A:$E,5,FALSE),""),0.5)&amp;"）")&amp;IF(IFERROR(VLOOKUP(D105,キャラ!$A:$E,4,FALSE),"")="",""," / "&amp;IFERROR(VLOOKUP(D105,キャラ!$A:$E,4,FALSE),"")&amp;"（0.5）")</f>
        <v/>
      </c>
      <c r="M105" s="3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4">
        <f>IF(AND(C106="",F106=""),"",_xlfn.TEXTJOIN(", ",TRUE,共通設定!$B$2,E106,IFERROR(VLOOKUP(C106,キャラ!$A:$E,2,FALSE),""),IFERROR(VLOOKUP(C106,キャラ!$A:$E,3,FALSE),""),IFERROR(VLOOKUP(D106,キャラ!$A:$E,2,FALSE),""),IFERROR(VLOOKUP(D106,キャラ!$A:$E,3,FALSE),""),F106,G106,H106,I106))</f>
        <v/>
      </c>
      <c r="K106" s="4">
        <f>IF(OR(A106="",B106=""),"",共通設定!$B$4&amp;"/"&amp;A106&amp;"_c"&amp;TEXT(B106,"00"))</f>
        <v/>
      </c>
      <c r="L106" s="4">
        <f>IF(IFERROR(VLOOKUP(C106,キャラ!$A:$E,4,FALSE),"")="","",IFERROR(VLOOKUP(C106,キャラ!$A:$E,4,FALSE),"")&amp;"（"&amp;IF(D106="",IFERROR(VLOOKUP(C106,キャラ!$A:$E,5,FALSE),""),0.5)&amp;"）")&amp;IF(IFERROR(VLOOKUP(D106,キャラ!$A:$E,4,FALSE),"")="",""," / "&amp;IFERROR(VLOOKUP(D106,キャラ!$A:$E,4,FALSE),"")&amp;"（0.5）")</f>
        <v/>
      </c>
      <c r="M106" s="3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4">
        <f>IF(AND(C107="",F107=""),"",_xlfn.TEXTJOIN(", ",TRUE,共通設定!$B$2,E107,IFERROR(VLOOKUP(C107,キャラ!$A:$E,2,FALSE),""),IFERROR(VLOOKUP(C107,キャラ!$A:$E,3,FALSE),""),IFERROR(VLOOKUP(D107,キャラ!$A:$E,2,FALSE),""),IFERROR(VLOOKUP(D107,キャラ!$A:$E,3,FALSE),""),F107,G107,H107,I107))</f>
        <v/>
      </c>
      <c r="K107" s="4">
        <f>IF(OR(A107="",B107=""),"",共通設定!$B$4&amp;"/"&amp;A107&amp;"_c"&amp;TEXT(B107,"00"))</f>
        <v/>
      </c>
      <c r="L107" s="4">
        <f>IF(IFERROR(VLOOKUP(C107,キャラ!$A:$E,4,FALSE),"")="","",IFERROR(VLOOKUP(C107,キャラ!$A:$E,4,FALSE),"")&amp;"（"&amp;IF(D107="",IFERROR(VLOOKUP(C107,キャラ!$A:$E,5,FALSE),""),0.5)&amp;"）")&amp;IF(IFERROR(VLOOKUP(D107,キャラ!$A:$E,4,FALSE),"")="",""," / "&amp;IFERROR(VLOOKUP(D107,キャラ!$A:$E,4,FALSE),"")&amp;"（0.5）")</f>
        <v/>
      </c>
      <c r="M107" s="3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4">
        <f>IF(AND(C108="",F108=""),"",_xlfn.TEXTJOIN(", ",TRUE,共通設定!$B$2,E108,IFERROR(VLOOKUP(C108,キャラ!$A:$E,2,FALSE),""),IFERROR(VLOOKUP(C108,キャラ!$A:$E,3,FALSE),""),IFERROR(VLOOKUP(D108,キャラ!$A:$E,2,FALSE),""),IFERROR(VLOOKUP(D108,キャラ!$A:$E,3,FALSE),""),F108,G108,H108,I108))</f>
        <v/>
      </c>
      <c r="K108" s="4">
        <f>IF(OR(A108="",B108=""),"",共通設定!$B$4&amp;"/"&amp;A108&amp;"_c"&amp;TEXT(B108,"00"))</f>
        <v/>
      </c>
      <c r="L108" s="4">
        <f>IF(IFERROR(VLOOKUP(C108,キャラ!$A:$E,4,FALSE),"")="","",IFERROR(VLOOKUP(C108,キャラ!$A:$E,4,FALSE),"")&amp;"（"&amp;IF(D108="",IFERROR(VLOOKUP(C108,キャラ!$A:$E,5,FALSE),""),0.5)&amp;"）")&amp;IF(IFERROR(VLOOKUP(D108,キャラ!$A:$E,4,FALSE),"")="",""," / "&amp;IFERROR(VLOOKUP(D108,キャラ!$A:$E,4,FALSE),"")&amp;"（0.5）")</f>
        <v/>
      </c>
      <c r="M108" s="3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4">
        <f>IF(AND(C109="",F109=""),"",_xlfn.TEXTJOIN(", ",TRUE,共通設定!$B$2,E109,IFERROR(VLOOKUP(C109,キャラ!$A:$E,2,FALSE),""),IFERROR(VLOOKUP(C109,キャラ!$A:$E,3,FALSE),""),IFERROR(VLOOKUP(D109,キャラ!$A:$E,2,FALSE),""),IFERROR(VLOOKUP(D109,キャラ!$A:$E,3,FALSE),""),F109,G109,H109,I109))</f>
        <v/>
      </c>
      <c r="K109" s="4">
        <f>IF(OR(A109="",B109=""),"",共通設定!$B$4&amp;"/"&amp;A109&amp;"_c"&amp;TEXT(B109,"00"))</f>
        <v/>
      </c>
      <c r="L109" s="4">
        <f>IF(IFERROR(VLOOKUP(C109,キャラ!$A:$E,4,FALSE),"")="","",IFERROR(VLOOKUP(C109,キャラ!$A:$E,4,FALSE),"")&amp;"（"&amp;IF(D109="",IFERROR(VLOOKUP(C109,キャラ!$A:$E,5,FALSE),""),0.5)&amp;"）")&amp;IF(IFERROR(VLOOKUP(D109,キャラ!$A:$E,4,FALSE),"")="",""," / "&amp;IFERROR(VLOOKUP(D109,キャラ!$A:$E,4,FALSE),"")&amp;"（0.5）")</f>
        <v/>
      </c>
      <c r="M109" s="3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4">
        <f>IF(AND(C110="",F110=""),"",_xlfn.TEXTJOIN(", ",TRUE,共通設定!$B$2,E110,IFERROR(VLOOKUP(C110,キャラ!$A:$E,2,FALSE),""),IFERROR(VLOOKUP(C110,キャラ!$A:$E,3,FALSE),""),IFERROR(VLOOKUP(D110,キャラ!$A:$E,2,FALSE),""),IFERROR(VLOOKUP(D110,キャラ!$A:$E,3,FALSE),""),F110,G110,H110,I110))</f>
        <v/>
      </c>
      <c r="K110" s="4">
        <f>IF(OR(A110="",B110=""),"",共通設定!$B$4&amp;"/"&amp;A110&amp;"_c"&amp;TEXT(B110,"00"))</f>
        <v/>
      </c>
      <c r="L110" s="4">
        <f>IF(IFERROR(VLOOKUP(C110,キャラ!$A:$E,4,FALSE),"")="","",IFERROR(VLOOKUP(C110,キャラ!$A:$E,4,FALSE),"")&amp;"（"&amp;IF(D110="",IFERROR(VLOOKUP(C110,キャラ!$A:$E,5,FALSE),""),0.5)&amp;"）")&amp;IF(IFERROR(VLOOKUP(D110,キャラ!$A:$E,4,FALSE),"")="",""," / "&amp;IFERROR(VLOOKUP(D110,キャラ!$A:$E,4,FALSE),"")&amp;"（0.5）")</f>
        <v/>
      </c>
      <c r="M110" s="3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4">
        <f>IF(AND(C111="",F111=""),"",_xlfn.TEXTJOIN(", ",TRUE,共通設定!$B$2,E111,IFERROR(VLOOKUP(C111,キャラ!$A:$E,2,FALSE),""),IFERROR(VLOOKUP(C111,キャラ!$A:$E,3,FALSE),""),IFERROR(VLOOKUP(D111,キャラ!$A:$E,2,FALSE),""),IFERROR(VLOOKUP(D111,キャラ!$A:$E,3,FALSE),""),F111,G111,H111,I111))</f>
        <v/>
      </c>
      <c r="K111" s="4">
        <f>IF(OR(A111="",B111=""),"",共通設定!$B$4&amp;"/"&amp;A111&amp;"_c"&amp;TEXT(B111,"00"))</f>
        <v/>
      </c>
      <c r="L111" s="4">
        <f>IF(IFERROR(VLOOKUP(C111,キャラ!$A:$E,4,FALSE),"")="","",IFERROR(VLOOKUP(C111,キャラ!$A:$E,4,FALSE),"")&amp;"（"&amp;IF(D111="",IFERROR(VLOOKUP(C111,キャラ!$A:$E,5,FALSE),""),0.5)&amp;"）")&amp;IF(IFERROR(VLOOKUP(D111,キャラ!$A:$E,4,FALSE),"")="",""," / "&amp;IFERROR(VLOOKUP(D111,キャラ!$A:$E,4,FALSE),"")&amp;"（0.5）")</f>
        <v/>
      </c>
      <c r="M111" s="3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4">
        <f>IF(AND(C112="",F112=""),"",_xlfn.TEXTJOIN(", ",TRUE,共通設定!$B$2,E112,IFERROR(VLOOKUP(C112,キャラ!$A:$E,2,FALSE),""),IFERROR(VLOOKUP(C112,キャラ!$A:$E,3,FALSE),""),IFERROR(VLOOKUP(D112,キャラ!$A:$E,2,FALSE),""),IFERROR(VLOOKUP(D112,キャラ!$A:$E,3,FALSE),""),F112,G112,H112,I112))</f>
        <v/>
      </c>
      <c r="K112" s="4">
        <f>IF(OR(A112="",B112=""),"",共通設定!$B$4&amp;"/"&amp;A112&amp;"_c"&amp;TEXT(B112,"00"))</f>
        <v/>
      </c>
      <c r="L112" s="4">
        <f>IF(IFERROR(VLOOKUP(C112,キャラ!$A:$E,4,FALSE),"")="","",IFERROR(VLOOKUP(C112,キャラ!$A:$E,4,FALSE),"")&amp;"（"&amp;IF(D112="",IFERROR(VLOOKUP(C112,キャラ!$A:$E,5,FALSE),""),0.5)&amp;"）")&amp;IF(IFERROR(VLOOKUP(D112,キャラ!$A:$E,4,FALSE),"")="",""," / "&amp;IFERROR(VLOOKUP(D112,キャラ!$A:$E,4,FALSE),"")&amp;"（0.5）")</f>
        <v/>
      </c>
      <c r="M112" s="3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4">
        <f>IF(AND(C113="",F113=""),"",_xlfn.TEXTJOIN(", ",TRUE,共通設定!$B$2,E113,IFERROR(VLOOKUP(C113,キャラ!$A:$E,2,FALSE),""),IFERROR(VLOOKUP(C113,キャラ!$A:$E,3,FALSE),""),IFERROR(VLOOKUP(D113,キャラ!$A:$E,2,FALSE),""),IFERROR(VLOOKUP(D113,キャラ!$A:$E,3,FALSE),""),F113,G113,H113,I113))</f>
        <v/>
      </c>
      <c r="K113" s="4">
        <f>IF(OR(A113="",B113=""),"",共通設定!$B$4&amp;"/"&amp;A113&amp;"_c"&amp;TEXT(B113,"00"))</f>
        <v/>
      </c>
      <c r="L113" s="4">
        <f>IF(IFERROR(VLOOKUP(C113,キャラ!$A:$E,4,FALSE),"")="","",IFERROR(VLOOKUP(C113,キャラ!$A:$E,4,FALSE),"")&amp;"（"&amp;IF(D113="",IFERROR(VLOOKUP(C113,キャラ!$A:$E,5,FALSE),""),0.5)&amp;"）")&amp;IF(IFERROR(VLOOKUP(D113,キャラ!$A:$E,4,FALSE),"")="",""," / "&amp;IFERROR(VLOOKUP(D113,キャラ!$A:$E,4,FALSE),"")&amp;"（0.5）")</f>
        <v/>
      </c>
      <c r="M113" s="3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4">
        <f>IF(AND(C114="",F114=""),"",_xlfn.TEXTJOIN(", ",TRUE,共通設定!$B$2,E114,IFERROR(VLOOKUP(C114,キャラ!$A:$E,2,FALSE),""),IFERROR(VLOOKUP(C114,キャラ!$A:$E,3,FALSE),""),IFERROR(VLOOKUP(D114,キャラ!$A:$E,2,FALSE),""),IFERROR(VLOOKUP(D114,キャラ!$A:$E,3,FALSE),""),F114,G114,H114,I114))</f>
        <v/>
      </c>
      <c r="K114" s="4">
        <f>IF(OR(A114="",B114=""),"",共通設定!$B$4&amp;"/"&amp;A114&amp;"_c"&amp;TEXT(B114,"00"))</f>
        <v/>
      </c>
      <c r="L114" s="4">
        <f>IF(IFERROR(VLOOKUP(C114,キャラ!$A:$E,4,FALSE),"")="","",IFERROR(VLOOKUP(C114,キャラ!$A:$E,4,FALSE),"")&amp;"（"&amp;IF(D114="",IFERROR(VLOOKUP(C114,キャラ!$A:$E,5,FALSE),""),0.5)&amp;"）")&amp;IF(IFERROR(VLOOKUP(D114,キャラ!$A:$E,4,FALSE),"")="",""," / "&amp;IFERROR(VLOOKUP(D114,キャラ!$A:$E,4,FALSE),"")&amp;"（0.5）")</f>
        <v/>
      </c>
      <c r="M114" s="3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4">
        <f>IF(AND(C115="",F115=""),"",_xlfn.TEXTJOIN(", ",TRUE,共通設定!$B$2,E115,IFERROR(VLOOKUP(C115,キャラ!$A:$E,2,FALSE),""),IFERROR(VLOOKUP(C115,キャラ!$A:$E,3,FALSE),""),IFERROR(VLOOKUP(D115,キャラ!$A:$E,2,FALSE),""),IFERROR(VLOOKUP(D115,キャラ!$A:$E,3,FALSE),""),F115,G115,H115,I115))</f>
        <v/>
      </c>
      <c r="K115" s="4">
        <f>IF(OR(A115="",B115=""),"",共通設定!$B$4&amp;"/"&amp;A115&amp;"_c"&amp;TEXT(B115,"00"))</f>
        <v/>
      </c>
      <c r="L115" s="4">
        <f>IF(IFERROR(VLOOKUP(C115,キャラ!$A:$E,4,FALSE),"")="","",IFERROR(VLOOKUP(C115,キャラ!$A:$E,4,FALSE),"")&amp;"（"&amp;IF(D115="",IFERROR(VLOOKUP(C115,キャラ!$A:$E,5,FALSE),""),0.5)&amp;"）")&amp;IF(IFERROR(VLOOKUP(D115,キャラ!$A:$E,4,FALSE),"")="",""," / "&amp;IFERROR(VLOOKUP(D115,キャラ!$A:$E,4,FALSE),"")&amp;"（0.5）")</f>
        <v/>
      </c>
      <c r="M115" s="3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4">
        <f>IF(AND(C116="",F116=""),"",_xlfn.TEXTJOIN(", ",TRUE,共通設定!$B$2,E116,IFERROR(VLOOKUP(C116,キャラ!$A:$E,2,FALSE),""),IFERROR(VLOOKUP(C116,キャラ!$A:$E,3,FALSE),""),IFERROR(VLOOKUP(D116,キャラ!$A:$E,2,FALSE),""),IFERROR(VLOOKUP(D116,キャラ!$A:$E,3,FALSE),""),F116,G116,H116,I116))</f>
        <v/>
      </c>
      <c r="K116" s="4">
        <f>IF(OR(A116="",B116=""),"",共通設定!$B$4&amp;"/"&amp;A116&amp;"_c"&amp;TEXT(B116,"00"))</f>
        <v/>
      </c>
      <c r="L116" s="4">
        <f>IF(IFERROR(VLOOKUP(C116,キャラ!$A:$E,4,FALSE),"")="","",IFERROR(VLOOKUP(C116,キャラ!$A:$E,4,FALSE),"")&amp;"（"&amp;IF(D116="",IFERROR(VLOOKUP(C116,キャラ!$A:$E,5,FALSE),""),0.5)&amp;"）")&amp;IF(IFERROR(VLOOKUP(D116,キャラ!$A:$E,4,FALSE),"")="",""," / "&amp;IFERROR(VLOOKUP(D116,キャラ!$A:$E,4,FALSE),"")&amp;"（0.5）")</f>
        <v/>
      </c>
      <c r="M116" s="3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4">
        <f>IF(AND(C117="",F117=""),"",_xlfn.TEXTJOIN(", ",TRUE,共通設定!$B$2,E117,IFERROR(VLOOKUP(C117,キャラ!$A:$E,2,FALSE),""),IFERROR(VLOOKUP(C117,キャラ!$A:$E,3,FALSE),""),IFERROR(VLOOKUP(D117,キャラ!$A:$E,2,FALSE),""),IFERROR(VLOOKUP(D117,キャラ!$A:$E,3,FALSE),""),F117,G117,H117,I117))</f>
        <v/>
      </c>
      <c r="K117" s="4">
        <f>IF(OR(A117="",B117=""),"",共通設定!$B$4&amp;"/"&amp;A117&amp;"_c"&amp;TEXT(B117,"00"))</f>
        <v/>
      </c>
      <c r="L117" s="4">
        <f>IF(IFERROR(VLOOKUP(C117,キャラ!$A:$E,4,FALSE),"")="","",IFERROR(VLOOKUP(C117,キャラ!$A:$E,4,FALSE),"")&amp;"（"&amp;IF(D117="",IFERROR(VLOOKUP(C117,キャラ!$A:$E,5,FALSE),""),0.5)&amp;"）")&amp;IF(IFERROR(VLOOKUP(D117,キャラ!$A:$E,4,FALSE),"")="",""," / "&amp;IFERROR(VLOOKUP(D117,キャラ!$A:$E,4,FALSE),"")&amp;"（0.5）")</f>
        <v/>
      </c>
      <c r="M117" s="3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4">
        <f>IF(AND(C118="",F118=""),"",_xlfn.TEXTJOIN(", ",TRUE,共通設定!$B$2,E118,IFERROR(VLOOKUP(C118,キャラ!$A:$E,2,FALSE),""),IFERROR(VLOOKUP(C118,キャラ!$A:$E,3,FALSE),""),IFERROR(VLOOKUP(D118,キャラ!$A:$E,2,FALSE),""),IFERROR(VLOOKUP(D118,キャラ!$A:$E,3,FALSE),""),F118,G118,H118,I118))</f>
        <v/>
      </c>
      <c r="K118" s="4">
        <f>IF(OR(A118="",B118=""),"",共通設定!$B$4&amp;"/"&amp;A118&amp;"_c"&amp;TEXT(B118,"00"))</f>
        <v/>
      </c>
      <c r="L118" s="4">
        <f>IF(IFERROR(VLOOKUP(C118,キャラ!$A:$E,4,FALSE),"")="","",IFERROR(VLOOKUP(C118,キャラ!$A:$E,4,FALSE),"")&amp;"（"&amp;IF(D118="",IFERROR(VLOOKUP(C118,キャラ!$A:$E,5,FALSE),""),0.5)&amp;"）")&amp;IF(IFERROR(VLOOKUP(D118,キャラ!$A:$E,4,FALSE),"")="",""," / "&amp;IFERROR(VLOOKUP(D118,キャラ!$A:$E,4,FALSE),"")&amp;"（0.5）")</f>
        <v/>
      </c>
      <c r="M118" s="3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4">
        <f>IF(AND(C119="",F119=""),"",_xlfn.TEXTJOIN(", ",TRUE,共通設定!$B$2,E119,IFERROR(VLOOKUP(C119,キャラ!$A:$E,2,FALSE),""),IFERROR(VLOOKUP(C119,キャラ!$A:$E,3,FALSE),""),IFERROR(VLOOKUP(D119,キャラ!$A:$E,2,FALSE),""),IFERROR(VLOOKUP(D119,キャラ!$A:$E,3,FALSE),""),F119,G119,H119,I119))</f>
        <v/>
      </c>
      <c r="K119" s="4">
        <f>IF(OR(A119="",B119=""),"",共通設定!$B$4&amp;"/"&amp;A119&amp;"_c"&amp;TEXT(B119,"00"))</f>
        <v/>
      </c>
      <c r="L119" s="4">
        <f>IF(IFERROR(VLOOKUP(C119,キャラ!$A:$E,4,FALSE),"")="","",IFERROR(VLOOKUP(C119,キャラ!$A:$E,4,FALSE),"")&amp;"（"&amp;IF(D119="",IFERROR(VLOOKUP(C119,キャラ!$A:$E,5,FALSE),""),0.5)&amp;"）")&amp;IF(IFERROR(VLOOKUP(D119,キャラ!$A:$E,4,FALSE),"")="",""," / "&amp;IFERROR(VLOOKUP(D119,キャラ!$A:$E,4,FALSE),"")&amp;"（0.5）")</f>
        <v/>
      </c>
      <c r="M119" s="3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4">
        <f>IF(AND(C120="",F120=""),"",_xlfn.TEXTJOIN(", ",TRUE,共通設定!$B$2,E120,IFERROR(VLOOKUP(C120,キャラ!$A:$E,2,FALSE),""),IFERROR(VLOOKUP(C120,キャラ!$A:$E,3,FALSE),""),IFERROR(VLOOKUP(D120,キャラ!$A:$E,2,FALSE),""),IFERROR(VLOOKUP(D120,キャラ!$A:$E,3,FALSE),""),F120,G120,H120,I120))</f>
        <v/>
      </c>
      <c r="K120" s="4">
        <f>IF(OR(A120="",B120=""),"",共通設定!$B$4&amp;"/"&amp;A120&amp;"_c"&amp;TEXT(B120,"00"))</f>
        <v/>
      </c>
      <c r="L120" s="4">
        <f>IF(IFERROR(VLOOKUP(C120,キャラ!$A:$E,4,FALSE),"")="","",IFERROR(VLOOKUP(C120,キャラ!$A:$E,4,FALSE),"")&amp;"（"&amp;IF(D120="",IFERROR(VLOOKUP(C120,キャラ!$A:$E,5,FALSE),""),0.5)&amp;"）")&amp;IF(IFERROR(VLOOKUP(D120,キャラ!$A:$E,4,FALSE),"")="",""," / "&amp;IFERROR(VLOOKUP(D120,キャラ!$A:$E,4,FALSE),"")&amp;"（0.5）")</f>
        <v/>
      </c>
      <c r="M120" s="3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4">
        <f>IF(AND(C121="",F121=""),"",_xlfn.TEXTJOIN(", ",TRUE,共通設定!$B$2,E121,IFERROR(VLOOKUP(C121,キャラ!$A:$E,2,FALSE),""),IFERROR(VLOOKUP(C121,キャラ!$A:$E,3,FALSE),""),IFERROR(VLOOKUP(D121,キャラ!$A:$E,2,FALSE),""),IFERROR(VLOOKUP(D121,キャラ!$A:$E,3,FALSE),""),F121,G121,H121,I121))</f>
        <v/>
      </c>
      <c r="K121" s="4">
        <f>IF(OR(A121="",B121=""),"",共通設定!$B$4&amp;"/"&amp;A121&amp;"_c"&amp;TEXT(B121,"00"))</f>
        <v/>
      </c>
      <c r="L121" s="4">
        <f>IF(IFERROR(VLOOKUP(C121,キャラ!$A:$E,4,FALSE),"")="","",IFERROR(VLOOKUP(C121,キャラ!$A:$E,4,FALSE),"")&amp;"（"&amp;IF(D121="",IFERROR(VLOOKUP(C121,キャラ!$A:$E,5,FALSE),""),0.5)&amp;"）")&amp;IF(IFERROR(VLOOKUP(D121,キャラ!$A:$E,4,FALSE),"")="",""," / "&amp;IFERROR(VLOOKUP(D121,キャラ!$A:$E,4,FALSE),"")&amp;"（0.5）")</f>
        <v/>
      </c>
      <c r="M121" s="3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4">
        <f>IF(AND(C122="",F122=""),"",_xlfn.TEXTJOIN(", ",TRUE,共通設定!$B$2,E122,IFERROR(VLOOKUP(C122,キャラ!$A:$E,2,FALSE),""),IFERROR(VLOOKUP(C122,キャラ!$A:$E,3,FALSE),""),IFERROR(VLOOKUP(D122,キャラ!$A:$E,2,FALSE),""),IFERROR(VLOOKUP(D122,キャラ!$A:$E,3,FALSE),""),F122,G122,H122,I122))</f>
        <v/>
      </c>
      <c r="K122" s="4">
        <f>IF(OR(A122="",B122=""),"",共通設定!$B$4&amp;"/"&amp;A122&amp;"_c"&amp;TEXT(B122,"00"))</f>
        <v/>
      </c>
      <c r="L122" s="4">
        <f>IF(IFERROR(VLOOKUP(C122,キャラ!$A:$E,4,FALSE),"")="","",IFERROR(VLOOKUP(C122,キャラ!$A:$E,4,FALSE),"")&amp;"（"&amp;IF(D122="",IFERROR(VLOOKUP(C122,キャラ!$A:$E,5,FALSE),""),0.5)&amp;"）")&amp;IF(IFERROR(VLOOKUP(D122,キャラ!$A:$E,4,FALSE),"")="",""," / "&amp;IFERROR(VLOOKUP(D122,キャラ!$A:$E,4,FALSE),"")&amp;"（0.5）")</f>
        <v/>
      </c>
      <c r="M122" s="3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4">
        <f>IF(AND(C123="",F123=""),"",_xlfn.TEXTJOIN(", ",TRUE,共通設定!$B$2,E123,IFERROR(VLOOKUP(C123,キャラ!$A:$E,2,FALSE),""),IFERROR(VLOOKUP(C123,キャラ!$A:$E,3,FALSE),""),IFERROR(VLOOKUP(D123,キャラ!$A:$E,2,FALSE),""),IFERROR(VLOOKUP(D123,キャラ!$A:$E,3,FALSE),""),F123,G123,H123,I123))</f>
        <v/>
      </c>
      <c r="K123" s="4">
        <f>IF(OR(A123="",B123=""),"",共通設定!$B$4&amp;"/"&amp;A123&amp;"_c"&amp;TEXT(B123,"00"))</f>
        <v/>
      </c>
      <c r="L123" s="4">
        <f>IF(IFERROR(VLOOKUP(C123,キャラ!$A:$E,4,FALSE),"")="","",IFERROR(VLOOKUP(C123,キャラ!$A:$E,4,FALSE),"")&amp;"（"&amp;IF(D123="",IFERROR(VLOOKUP(C123,キャラ!$A:$E,5,FALSE),""),0.5)&amp;"）")&amp;IF(IFERROR(VLOOKUP(D123,キャラ!$A:$E,4,FALSE),"")="",""," / "&amp;IFERROR(VLOOKUP(D123,キャラ!$A:$E,4,FALSE),"")&amp;"（0.5）")</f>
        <v/>
      </c>
      <c r="M123" s="3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4">
        <f>IF(AND(C124="",F124=""),"",_xlfn.TEXTJOIN(", ",TRUE,共通設定!$B$2,E124,IFERROR(VLOOKUP(C124,キャラ!$A:$E,2,FALSE),""),IFERROR(VLOOKUP(C124,キャラ!$A:$E,3,FALSE),""),IFERROR(VLOOKUP(D124,キャラ!$A:$E,2,FALSE),""),IFERROR(VLOOKUP(D124,キャラ!$A:$E,3,FALSE),""),F124,G124,H124,I124))</f>
        <v/>
      </c>
      <c r="K124" s="4">
        <f>IF(OR(A124="",B124=""),"",共通設定!$B$4&amp;"/"&amp;A124&amp;"_c"&amp;TEXT(B124,"00"))</f>
        <v/>
      </c>
      <c r="L124" s="4">
        <f>IF(IFERROR(VLOOKUP(C124,キャラ!$A:$E,4,FALSE),"")="","",IFERROR(VLOOKUP(C124,キャラ!$A:$E,4,FALSE),"")&amp;"（"&amp;IF(D124="",IFERROR(VLOOKUP(C124,キャラ!$A:$E,5,FALSE),""),0.5)&amp;"）")&amp;IF(IFERROR(VLOOKUP(D124,キャラ!$A:$E,4,FALSE),"")="",""," / "&amp;IFERROR(VLOOKUP(D124,キャラ!$A:$E,4,FALSE),"")&amp;"（0.5）")</f>
        <v/>
      </c>
      <c r="M124" s="3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4">
        <f>IF(AND(C125="",F125=""),"",_xlfn.TEXTJOIN(", ",TRUE,共通設定!$B$2,E125,IFERROR(VLOOKUP(C125,キャラ!$A:$E,2,FALSE),""),IFERROR(VLOOKUP(C125,キャラ!$A:$E,3,FALSE),""),IFERROR(VLOOKUP(D125,キャラ!$A:$E,2,FALSE),""),IFERROR(VLOOKUP(D125,キャラ!$A:$E,3,FALSE),""),F125,G125,H125,I125))</f>
        <v/>
      </c>
      <c r="K125" s="4">
        <f>IF(OR(A125="",B125=""),"",共通設定!$B$4&amp;"/"&amp;A125&amp;"_c"&amp;TEXT(B125,"00"))</f>
        <v/>
      </c>
      <c r="L125" s="4">
        <f>IF(IFERROR(VLOOKUP(C125,キャラ!$A:$E,4,FALSE),"")="","",IFERROR(VLOOKUP(C125,キャラ!$A:$E,4,FALSE),"")&amp;"（"&amp;IF(D125="",IFERROR(VLOOKUP(C125,キャラ!$A:$E,5,FALSE),""),0.5)&amp;"）")&amp;IF(IFERROR(VLOOKUP(D125,キャラ!$A:$E,4,FALSE),"")="",""," / "&amp;IFERROR(VLOOKUP(D125,キャラ!$A:$E,4,FALSE),"")&amp;"（0.5）")</f>
        <v/>
      </c>
      <c r="M125" s="3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4">
        <f>IF(AND(C126="",F126=""),"",_xlfn.TEXTJOIN(", ",TRUE,共通設定!$B$2,E126,IFERROR(VLOOKUP(C126,キャラ!$A:$E,2,FALSE),""),IFERROR(VLOOKUP(C126,キャラ!$A:$E,3,FALSE),""),IFERROR(VLOOKUP(D126,キャラ!$A:$E,2,FALSE),""),IFERROR(VLOOKUP(D126,キャラ!$A:$E,3,FALSE),""),F126,G126,H126,I126))</f>
        <v/>
      </c>
      <c r="K126" s="4">
        <f>IF(OR(A126="",B126=""),"",共通設定!$B$4&amp;"/"&amp;A126&amp;"_c"&amp;TEXT(B126,"00"))</f>
        <v/>
      </c>
      <c r="L126" s="4">
        <f>IF(IFERROR(VLOOKUP(C126,キャラ!$A:$E,4,FALSE),"")="","",IFERROR(VLOOKUP(C126,キャラ!$A:$E,4,FALSE),"")&amp;"（"&amp;IF(D126="",IFERROR(VLOOKUP(C126,キャラ!$A:$E,5,FALSE),""),0.5)&amp;"）")&amp;IF(IFERROR(VLOOKUP(D126,キャラ!$A:$E,4,FALSE),"")="",""," / "&amp;IFERROR(VLOOKUP(D126,キャラ!$A:$E,4,FALSE),"")&amp;"（0.5）")</f>
        <v/>
      </c>
      <c r="M126" s="3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4">
        <f>IF(AND(C127="",F127=""),"",_xlfn.TEXTJOIN(", ",TRUE,共通設定!$B$2,E127,IFERROR(VLOOKUP(C127,キャラ!$A:$E,2,FALSE),""),IFERROR(VLOOKUP(C127,キャラ!$A:$E,3,FALSE),""),IFERROR(VLOOKUP(D127,キャラ!$A:$E,2,FALSE),""),IFERROR(VLOOKUP(D127,キャラ!$A:$E,3,FALSE),""),F127,G127,H127,I127))</f>
        <v/>
      </c>
      <c r="K127" s="4">
        <f>IF(OR(A127="",B127=""),"",共通設定!$B$4&amp;"/"&amp;A127&amp;"_c"&amp;TEXT(B127,"00"))</f>
        <v/>
      </c>
      <c r="L127" s="4">
        <f>IF(IFERROR(VLOOKUP(C127,キャラ!$A:$E,4,FALSE),"")="","",IFERROR(VLOOKUP(C127,キャラ!$A:$E,4,FALSE),"")&amp;"（"&amp;IF(D127="",IFERROR(VLOOKUP(C127,キャラ!$A:$E,5,FALSE),""),0.5)&amp;"）")&amp;IF(IFERROR(VLOOKUP(D127,キャラ!$A:$E,4,FALSE),"")="",""," / "&amp;IFERROR(VLOOKUP(D127,キャラ!$A:$E,4,FALSE),"")&amp;"（0.5）")</f>
        <v/>
      </c>
      <c r="M127" s="3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4">
        <f>IF(AND(C128="",F128=""),"",_xlfn.TEXTJOIN(", ",TRUE,共通設定!$B$2,E128,IFERROR(VLOOKUP(C128,キャラ!$A:$E,2,FALSE),""),IFERROR(VLOOKUP(C128,キャラ!$A:$E,3,FALSE),""),IFERROR(VLOOKUP(D128,キャラ!$A:$E,2,FALSE),""),IFERROR(VLOOKUP(D128,キャラ!$A:$E,3,FALSE),""),F128,G128,H128,I128))</f>
        <v/>
      </c>
      <c r="K128" s="4">
        <f>IF(OR(A128="",B128=""),"",共通設定!$B$4&amp;"/"&amp;A128&amp;"_c"&amp;TEXT(B128,"00"))</f>
        <v/>
      </c>
      <c r="L128" s="4">
        <f>IF(IFERROR(VLOOKUP(C128,キャラ!$A:$E,4,FALSE),"")="","",IFERROR(VLOOKUP(C128,キャラ!$A:$E,4,FALSE),"")&amp;"（"&amp;IF(D128="",IFERROR(VLOOKUP(C128,キャラ!$A:$E,5,FALSE),""),0.5)&amp;"）")&amp;IF(IFERROR(VLOOKUP(D128,キャラ!$A:$E,4,FALSE),"")="",""," / "&amp;IFERROR(VLOOKUP(D128,キャラ!$A:$E,4,FALSE),"")&amp;"（0.5）")</f>
        <v/>
      </c>
      <c r="M128" s="3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4">
        <f>IF(AND(C129="",F129=""),"",_xlfn.TEXTJOIN(", ",TRUE,共通設定!$B$2,E129,IFERROR(VLOOKUP(C129,キャラ!$A:$E,2,FALSE),""),IFERROR(VLOOKUP(C129,キャラ!$A:$E,3,FALSE),""),IFERROR(VLOOKUP(D129,キャラ!$A:$E,2,FALSE),""),IFERROR(VLOOKUP(D129,キャラ!$A:$E,3,FALSE),""),F129,G129,H129,I129))</f>
        <v/>
      </c>
      <c r="K129" s="4">
        <f>IF(OR(A129="",B129=""),"",共通設定!$B$4&amp;"/"&amp;A129&amp;"_c"&amp;TEXT(B129,"00"))</f>
        <v/>
      </c>
      <c r="L129" s="4">
        <f>IF(IFERROR(VLOOKUP(C129,キャラ!$A:$E,4,FALSE),"")="","",IFERROR(VLOOKUP(C129,キャラ!$A:$E,4,FALSE),"")&amp;"（"&amp;IF(D129="",IFERROR(VLOOKUP(C129,キャラ!$A:$E,5,FALSE),""),0.5)&amp;"）")&amp;IF(IFERROR(VLOOKUP(D129,キャラ!$A:$E,4,FALSE),"")="",""," / "&amp;IFERROR(VLOOKUP(D129,キャラ!$A:$E,4,FALSE),"")&amp;"（0.5）")</f>
        <v/>
      </c>
      <c r="M129" s="3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4">
        <f>IF(AND(C130="",F130=""),"",_xlfn.TEXTJOIN(", ",TRUE,共通設定!$B$2,E130,IFERROR(VLOOKUP(C130,キャラ!$A:$E,2,FALSE),""),IFERROR(VLOOKUP(C130,キャラ!$A:$E,3,FALSE),""),IFERROR(VLOOKUP(D130,キャラ!$A:$E,2,FALSE),""),IFERROR(VLOOKUP(D130,キャラ!$A:$E,3,FALSE),""),F130,G130,H130,I130))</f>
        <v/>
      </c>
      <c r="K130" s="4">
        <f>IF(OR(A130="",B130=""),"",共通設定!$B$4&amp;"/"&amp;A130&amp;"_c"&amp;TEXT(B130,"00"))</f>
        <v/>
      </c>
      <c r="L130" s="4">
        <f>IF(IFERROR(VLOOKUP(C130,キャラ!$A:$E,4,FALSE),"")="","",IFERROR(VLOOKUP(C130,キャラ!$A:$E,4,FALSE),"")&amp;"（"&amp;IF(D130="",IFERROR(VLOOKUP(C130,キャラ!$A:$E,5,FALSE),""),0.5)&amp;"）")&amp;IF(IFERROR(VLOOKUP(D130,キャラ!$A:$E,4,FALSE),"")="",""," / "&amp;IFERROR(VLOOKUP(D130,キャラ!$A:$E,4,FALSE),"")&amp;"（0.5）")</f>
        <v/>
      </c>
      <c r="M130" s="3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4">
        <f>IF(AND(C131="",F131=""),"",_xlfn.TEXTJOIN(", ",TRUE,共通設定!$B$2,E131,IFERROR(VLOOKUP(C131,キャラ!$A:$E,2,FALSE),""),IFERROR(VLOOKUP(C131,キャラ!$A:$E,3,FALSE),""),IFERROR(VLOOKUP(D131,キャラ!$A:$E,2,FALSE),""),IFERROR(VLOOKUP(D131,キャラ!$A:$E,3,FALSE),""),F131,G131,H131,I131))</f>
        <v/>
      </c>
      <c r="K131" s="4">
        <f>IF(OR(A131="",B131=""),"",共通設定!$B$4&amp;"/"&amp;A131&amp;"_c"&amp;TEXT(B131,"00"))</f>
        <v/>
      </c>
      <c r="L131" s="4">
        <f>IF(IFERROR(VLOOKUP(C131,キャラ!$A:$E,4,FALSE),"")="","",IFERROR(VLOOKUP(C131,キャラ!$A:$E,4,FALSE),"")&amp;"（"&amp;IF(D131="",IFERROR(VLOOKUP(C131,キャラ!$A:$E,5,FALSE),""),0.5)&amp;"）")&amp;IF(IFERROR(VLOOKUP(D131,キャラ!$A:$E,4,FALSE),"")="",""," / "&amp;IFERROR(VLOOKUP(D131,キャラ!$A:$E,4,FALSE),"")&amp;"（0.5）")</f>
        <v/>
      </c>
      <c r="M131" s="3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4">
        <f>IF(AND(C132="",F132=""),"",_xlfn.TEXTJOIN(", ",TRUE,共通設定!$B$2,E132,IFERROR(VLOOKUP(C132,キャラ!$A:$E,2,FALSE),""),IFERROR(VLOOKUP(C132,キャラ!$A:$E,3,FALSE),""),IFERROR(VLOOKUP(D132,キャラ!$A:$E,2,FALSE),""),IFERROR(VLOOKUP(D132,キャラ!$A:$E,3,FALSE),""),F132,G132,H132,I132))</f>
        <v/>
      </c>
      <c r="K132" s="4">
        <f>IF(OR(A132="",B132=""),"",共通設定!$B$4&amp;"/"&amp;A132&amp;"_c"&amp;TEXT(B132,"00"))</f>
        <v/>
      </c>
      <c r="L132" s="4">
        <f>IF(IFERROR(VLOOKUP(C132,キャラ!$A:$E,4,FALSE),"")="","",IFERROR(VLOOKUP(C132,キャラ!$A:$E,4,FALSE),"")&amp;"（"&amp;IF(D132="",IFERROR(VLOOKUP(C132,キャラ!$A:$E,5,FALSE),""),0.5)&amp;"）")&amp;IF(IFERROR(VLOOKUP(D132,キャラ!$A:$E,4,FALSE),"")="",""," / "&amp;IFERROR(VLOOKUP(D132,キャラ!$A:$E,4,FALSE),"")&amp;"（0.5）")</f>
        <v/>
      </c>
      <c r="M132" s="3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4">
        <f>IF(AND(C133="",F133=""),"",_xlfn.TEXTJOIN(", ",TRUE,共通設定!$B$2,E133,IFERROR(VLOOKUP(C133,キャラ!$A:$E,2,FALSE),""),IFERROR(VLOOKUP(C133,キャラ!$A:$E,3,FALSE),""),IFERROR(VLOOKUP(D133,キャラ!$A:$E,2,FALSE),""),IFERROR(VLOOKUP(D133,キャラ!$A:$E,3,FALSE),""),F133,G133,H133,I133))</f>
        <v/>
      </c>
      <c r="K133" s="4">
        <f>IF(OR(A133="",B133=""),"",共通設定!$B$4&amp;"/"&amp;A133&amp;"_c"&amp;TEXT(B133,"00"))</f>
        <v/>
      </c>
      <c r="L133" s="4">
        <f>IF(IFERROR(VLOOKUP(C133,キャラ!$A:$E,4,FALSE),"")="","",IFERROR(VLOOKUP(C133,キャラ!$A:$E,4,FALSE),"")&amp;"（"&amp;IF(D133="",IFERROR(VLOOKUP(C133,キャラ!$A:$E,5,FALSE),""),0.5)&amp;"）")&amp;IF(IFERROR(VLOOKUP(D133,キャラ!$A:$E,4,FALSE),"")="",""," / "&amp;IFERROR(VLOOKUP(D133,キャラ!$A:$E,4,FALSE),"")&amp;"（0.5）")</f>
        <v/>
      </c>
      <c r="M133" s="3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4">
        <f>IF(AND(C134="",F134=""),"",_xlfn.TEXTJOIN(", ",TRUE,共通設定!$B$2,E134,IFERROR(VLOOKUP(C134,キャラ!$A:$E,2,FALSE),""),IFERROR(VLOOKUP(C134,キャラ!$A:$E,3,FALSE),""),IFERROR(VLOOKUP(D134,キャラ!$A:$E,2,FALSE),""),IFERROR(VLOOKUP(D134,キャラ!$A:$E,3,FALSE),""),F134,G134,H134,I134))</f>
        <v/>
      </c>
      <c r="K134" s="4">
        <f>IF(OR(A134="",B134=""),"",共通設定!$B$4&amp;"/"&amp;A134&amp;"_c"&amp;TEXT(B134,"00"))</f>
        <v/>
      </c>
      <c r="L134" s="4">
        <f>IF(IFERROR(VLOOKUP(C134,キャラ!$A:$E,4,FALSE),"")="","",IFERROR(VLOOKUP(C134,キャラ!$A:$E,4,FALSE),"")&amp;"（"&amp;IF(D134="",IFERROR(VLOOKUP(C134,キャラ!$A:$E,5,FALSE),""),0.5)&amp;"）")&amp;IF(IFERROR(VLOOKUP(D134,キャラ!$A:$E,4,FALSE),"")="",""," / "&amp;IFERROR(VLOOKUP(D134,キャラ!$A:$E,4,FALSE),"")&amp;"（0.5）")</f>
        <v/>
      </c>
      <c r="M134" s="3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4">
        <f>IF(AND(C135="",F135=""),"",_xlfn.TEXTJOIN(", ",TRUE,共通設定!$B$2,E135,IFERROR(VLOOKUP(C135,キャラ!$A:$E,2,FALSE),""),IFERROR(VLOOKUP(C135,キャラ!$A:$E,3,FALSE),""),IFERROR(VLOOKUP(D135,キャラ!$A:$E,2,FALSE),""),IFERROR(VLOOKUP(D135,キャラ!$A:$E,3,FALSE),""),F135,G135,H135,I135))</f>
        <v/>
      </c>
      <c r="K135" s="4">
        <f>IF(OR(A135="",B135=""),"",共通設定!$B$4&amp;"/"&amp;A135&amp;"_c"&amp;TEXT(B135,"00"))</f>
        <v/>
      </c>
      <c r="L135" s="4">
        <f>IF(IFERROR(VLOOKUP(C135,キャラ!$A:$E,4,FALSE),"")="","",IFERROR(VLOOKUP(C135,キャラ!$A:$E,4,FALSE),"")&amp;"（"&amp;IF(D135="",IFERROR(VLOOKUP(C135,キャラ!$A:$E,5,FALSE),""),0.5)&amp;"）")&amp;IF(IFERROR(VLOOKUP(D135,キャラ!$A:$E,4,FALSE),"")="",""," / "&amp;IFERROR(VLOOKUP(D135,キャラ!$A:$E,4,FALSE),"")&amp;"（0.5）")</f>
        <v/>
      </c>
      <c r="M135" s="3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4">
        <f>IF(AND(C136="",F136=""),"",_xlfn.TEXTJOIN(", ",TRUE,共通設定!$B$2,E136,IFERROR(VLOOKUP(C136,キャラ!$A:$E,2,FALSE),""),IFERROR(VLOOKUP(C136,キャラ!$A:$E,3,FALSE),""),IFERROR(VLOOKUP(D136,キャラ!$A:$E,2,FALSE),""),IFERROR(VLOOKUP(D136,キャラ!$A:$E,3,FALSE),""),F136,G136,H136,I136))</f>
        <v/>
      </c>
      <c r="K136" s="4">
        <f>IF(OR(A136="",B136=""),"",共通設定!$B$4&amp;"/"&amp;A136&amp;"_c"&amp;TEXT(B136,"00"))</f>
        <v/>
      </c>
      <c r="L136" s="4">
        <f>IF(IFERROR(VLOOKUP(C136,キャラ!$A:$E,4,FALSE),"")="","",IFERROR(VLOOKUP(C136,キャラ!$A:$E,4,FALSE),"")&amp;"（"&amp;IF(D136="",IFERROR(VLOOKUP(C136,キャラ!$A:$E,5,FALSE),""),0.5)&amp;"）")&amp;IF(IFERROR(VLOOKUP(D136,キャラ!$A:$E,4,FALSE),"")="",""," / "&amp;IFERROR(VLOOKUP(D136,キャラ!$A:$E,4,FALSE),"")&amp;"（0.5）")</f>
        <v/>
      </c>
      <c r="M136" s="3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4">
        <f>IF(AND(C137="",F137=""),"",_xlfn.TEXTJOIN(", ",TRUE,共通設定!$B$2,E137,IFERROR(VLOOKUP(C137,キャラ!$A:$E,2,FALSE),""),IFERROR(VLOOKUP(C137,キャラ!$A:$E,3,FALSE),""),IFERROR(VLOOKUP(D137,キャラ!$A:$E,2,FALSE),""),IFERROR(VLOOKUP(D137,キャラ!$A:$E,3,FALSE),""),F137,G137,H137,I137))</f>
        <v/>
      </c>
      <c r="K137" s="4">
        <f>IF(OR(A137="",B137=""),"",共通設定!$B$4&amp;"/"&amp;A137&amp;"_c"&amp;TEXT(B137,"00"))</f>
        <v/>
      </c>
      <c r="L137" s="4">
        <f>IF(IFERROR(VLOOKUP(C137,キャラ!$A:$E,4,FALSE),"")="","",IFERROR(VLOOKUP(C137,キャラ!$A:$E,4,FALSE),"")&amp;"（"&amp;IF(D137="",IFERROR(VLOOKUP(C137,キャラ!$A:$E,5,FALSE),""),0.5)&amp;"）")&amp;IF(IFERROR(VLOOKUP(D137,キャラ!$A:$E,4,FALSE),"")="",""," / "&amp;IFERROR(VLOOKUP(D137,キャラ!$A:$E,4,FALSE),"")&amp;"（0.5）")</f>
        <v/>
      </c>
      <c r="M137" s="3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4">
        <f>IF(AND(C138="",F138=""),"",_xlfn.TEXTJOIN(", ",TRUE,共通設定!$B$2,E138,IFERROR(VLOOKUP(C138,キャラ!$A:$E,2,FALSE),""),IFERROR(VLOOKUP(C138,キャラ!$A:$E,3,FALSE),""),IFERROR(VLOOKUP(D138,キャラ!$A:$E,2,FALSE),""),IFERROR(VLOOKUP(D138,キャラ!$A:$E,3,FALSE),""),F138,G138,H138,I138))</f>
        <v/>
      </c>
      <c r="K138" s="4">
        <f>IF(OR(A138="",B138=""),"",共通設定!$B$4&amp;"/"&amp;A138&amp;"_c"&amp;TEXT(B138,"00"))</f>
        <v/>
      </c>
      <c r="L138" s="4">
        <f>IF(IFERROR(VLOOKUP(C138,キャラ!$A:$E,4,FALSE),"")="","",IFERROR(VLOOKUP(C138,キャラ!$A:$E,4,FALSE),"")&amp;"（"&amp;IF(D138="",IFERROR(VLOOKUP(C138,キャラ!$A:$E,5,FALSE),""),0.5)&amp;"）")&amp;IF(IFERROR(VLOOKUP(D138,キャラ!$A:$E,4,FALSE),"")="",""," / "&amp;IFERROR(VLOOKUP(D138,キャラ!$A:$E,4,FALSE),"")&amp;"（0.5）")</f>
        <v/>
      </c>
      <c r="M138" s="3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4">
        <f>IF(AND(C139="",F139=""),"",_xlfn.TEXTJOIN(", ",TRUE,共通設定!$B$2,E139,IFERROR(VLOOKUP(C139,キャラ!$A:$E,2,FALSE),""),IFERROR(VLOOKUP(C139,キャラ!$A:$E,3,FALSE),""),IFERROR(VLOOKUP(D139,キャラ!$A:$E,2,FALSE),""),IFERROR(VLOOKUP(D139,キャラ!$A:$E,3,FALSE),""),F139,G139,H139,I139))</f>
        <v/>
      </c>
      <c r="K139" s="4">
        <f>IF(OR(A139="",B139=""),"",共通設定!$B$4&amp;"/"&amp;A139&amp;"_c"&amp;TEXT(B139,"00"))</f>
        <v/>
      </c>
      <c r="L139" s="4">
        <f>IF(IFERROR(VLOOKUP(C139,キャラ!$A:$E,4,FALSE),"")="","",IFERROR(VLOOKUP(C139,キャラ!$A:$E,4,FALSE),"")&amp;"（"&amp;IF(D139="",IFERROR(VLOOKUP(C139,キャラ!$A:$E,5,FALSE),""),0.5)&amp;"）")&amp;IF(IFERROR(VLOOKUP(D139,キャラ!$A:$E,4,FALSE),"")="",""," / "&amp;IFERROR(VLOOKUP(D139,キャラ!$A:$E,4,FALSE),"")&amp;"（0.5）")</f>
        <v/>
      </c>
      <c r="M139" s="3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4">
        <f>IF(AND(C140="",F140=""),"",_xlfn.TEXTJOIN(", ",TRUE,共通設定!$B$2,E140,IFERROR(VLOOKUP(C140,キャラ!$A:$E,2,FALSE),""),IFERROR(VLOOKUP(C140,キャラ!$A:$E,3,FALSE),""),IFERROR(VLOOKUP(D140,キャラ!$A:$E,2,FALSE),""),IFERROR(VLOOKUP(D140,キャラ!$A:$E,3,FALSE),""),F140,G140,H140,I140))</f>
        <v/>
      </c>
      <c r="K140" s="4">
        <f>IF(OR(A140="",B140=""),"",共通設定!$B$4&amp;"/"&amp;A140&amp;"_c"&amp;TEXT(B140,"00"))</f>
        <v/>
      </c>
      <c r="L140" s="4">
        <f>IF(IFERROR(VLOOKUP(C140,キャラ!$A:$E,4,FALSE),"")="","",IFERROR(VLOOKUP(C140,キャラ!$A:$E,4,FALSE),"")&amp;"（"&amp;IF(D140="",IFERROR(VLOOKUP(C140,キャラ!$A:$E,5,FALSE),""),0.5)&amp;"）")&amp;IF(IFERROR(VLOOKUP(D140,キャラ!$A:$E,4,FALSE),"")="",""," / "&amp;IFERROR(VLOOKUP(D140,キャラ!$A:$E,4,FALSE),"")&amp;"（0.5）")</f>
        <v/>
      </c>
      <c r="M140" s="3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4">
        <f>IF(AND(C141="",F141=""),"",_xlfn.TEXTJOIN(", ",TRUE,共通設定!$B$2,E141,IFERROR(VLOOKUP(C141,キャラ!$A:$E,2,FALSE),""),IFERROR(VLOOKUP(C141,キャラ!$A:$E,3,FALSE),""),IFERROR(VLOOKUP(D141,キャラ!$A:$E,2,FALSE),""),IFERROR(VLOOKUP(D141,キャラ!$A:$E,3,FALSE),""),F141,G141,H141,I141))</f>
        <v/>
      </c>
      <c r="K141" s="4">
        <f>IF(OR(A141="",B141=""),"",共通設定!$B$4&amp;"/"&amp;A141&amp;"_c"&amp;TEXT(B141,"00"))</f>
        <v/>
      </c>
      <c r="L141" s="4">
        <f>IF(IFERROR(VLOOKUP(C141,キャラ!$A:$E,4,FALSE),"")="","",IFERROR(VLOOKUP(C141,キャラ!$A:$E,4,FALSE),"")&amp;"（"&amp;IF(D141="",IFERROR(VLOOKUP(C141,キャラ!$A:$E,5,FALSE),""),0.5)&amp;"）")&amp;IF(IFERROR(VLOOKUP(D141,キャラ!$A:$E,4,FALSE),"")="",""," / "&amp;IFERROR(VLOOKUP(D141,キャラ!$A:$E,4,FALSE),"")&amp;"（0.5）")</f>
        <v/>
      </c>
      <c r="M141" s="3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4">
        <f>IF(AND(C142="",F142=""),"",_xlfn.TEXTJOIN(", ",TRUE,共通設定!$B$2,E142,IFERROR(VLOOKUP(C142,キャラ!$A:$E,2,FALSE),""),IFERROR(VLOOKUP(C142,キャラ!$A:$E,3,FALSE),""),IFERROR(VLOOKUP(D142,キャラ!$A:$E,2,FALSE),""),IFERROR(VLOOKUP(D142,キャラ!$A:$E,3,FALSE),""),F142,G142,H142,I142))</f>
        <v/>
      </c>
      <c r="K142" s="4">
        <f>IF(OR(A142="",B142=""),"",共通設定!$B$4&amp;"/"&amp;A142&amp;"_c"&amp;TEXT(B142,"00"))</f>
        <v/>
      </c>
      <c r="L142" s="4">
        <f>IF(IFERROR(VLOOKUP(C142,キャラ!$A:$E,4,FALSE),"")="","",IFERROR(VLOOKUP(C142,キャラ!$A:$E,4,FALSE),"")&amp;"（"&amp;IF(D142="",IFERROR(VLOOKUP(C142,キャラ!$A:$E,5,FALSE),""),0.5)&amp;"）")&amp;IF(IFERROR(VLOOKUP(D142,キャラ!$A:$E,4,FALSE),"")="",""," / "&amp;IFERROR(VLOOKUP(D142,キャラ!$A:$E,4,FALSE),"")&amp;"（0.5）")</f>
        <v/>
      </c>
      <c r="M142" s="3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4">
        <f>IF(AND(C143="",F143=""),"",_xlfn.TEXTJOIN(", ",TRUE,共通設定!$B$2,E143,IFERROR(VLOOKUP(C143,キャラ!$A:$E,2,FALSE),""),IFERROR(VLOOKUP(C143,キャラ!$A:$E,3,FALSE),""),IFERROR(VLOOKUP(D143,キャラ!$A:$E,2,FALSE),""),IFERROR(VLOOKUP(D143,キャラ!$A:$E,3,FALSE),""),F143,G143,H143,I143))</f>
        <v/>
      </c>
      <c r="K143" s="4">
        <f>IF(OR(A143="",B143=""),"",共通設定!$B$4&amp;"/"&amp;A143&amp;"_c"&amp;TEXT(B143,"00"))</f>
        <v/>
      </c>
      <c r="L143" s="4">
        <f>IF(IFERROR(VLOOKUP(C143,キャラ!$A:$E,4,FALSE),"")="","",IFERROR(VLOOKUP(C143,キャラ!$A:$E,4,FALSE),"")&amp;"（"&amp;IF(D143="",IFERROR(VLOOKUP(C143,キャラ!$A:$E,5,FALSE),""),0.5)&amp;"）")&amp;IF(IFERROR(VLOOKUP(D143,キャラ!$A:$E,4,FALSE),"")="",""," / "&amp;IFERROR(VLOOKUP(D143,キャラ!$A:$E,4,FALSE),"")&amp;"（0.5）")</f>
        <v/>
      </c>
      <c r="M143" s="3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4">
        <f>IF(AND(C144="",F144=""),"",_xlfn.TEXTJOIN(", ",TRUE,共通設定!$B$2,E144,IFERROR(VLOOKUP(C144,キャラ!$A:$E,2,FALSE),""),IFERROR(VLOOKUP(C144,キャラ!$A:$E,3,FALSE),""),IFERROR(VLOOKUP(D144,キャラ!$A:$E,2,FALSE),""),IFERROR(VLOOKUP(D144,キャラ!$A:$E,3,FALSE),""),F144,G144,H144,I144))</f>
        <v/>
      </c>
      <c r="K144" s="4">
        <f>IF(OR(A144="",B144=""),"",共通設定!$B$4&amp;"/"&amp;A144&amp;"_c"&amp;TEXT(B144,"00"))</f>
        <v/>
      </c>
      <c r="L144" s="4">
        <f>IF(IFERROR(VLOOKUP(C144,キャラ!$A:$E,4,FALSE),"")="","",IFERROR(VLOOKUP(C144,キャラ!$A:$E,4,FALSE),"")&amp;"（"&amp;IF(D144="",IFERROR(VLOOKUP(C144,キャラ!$A:$E,5,FALSE),""),0.5)&amp;"）")&amp;IF(IFERROR(VLOOKUP(D144,キャラ!$A:$E,4,FALSE),"")="",""," / "&amp;IFERROR(VLOOKUP(D144,キャラ!$A:$E,4,FALSE),"")&amp;"（0.5）")</f>
        <v/>
      </c>
      <c r="M144" s="3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4">
        <f>IF(AND(C145="",F145=""),"",_xlfn.TEXTJOIN(", ",TRUE,共通設定!$B$2,E145,IFERROR(VLOOKUP(C145,キャラ!$A:$E,2,FALSE),""),IFERROR(VLOOKUP(C145,キャラ!$A:$E,3,FALSE),""),IFERROR(VLOOKUP(D145,キャラ!$A:$E,2,FALSE),""),IFERROR(VLOOKUP(D145,キャラ!$A:$E,3,FALSE),""),F145,G145,H145,I145))</f>
        <v/>
      </c>
      <c r="K145" s="4">
        <f>IF(OR(A145="",B145=""),"",共通設定!$B$4&amp;"/"&amp;A145&amp;"_c"&amp;TEXT(B145,"00"))</f>
        <v/>
      </c>
      <c r="L145" s="4">
        <f>IF(IFERROR(VLOOKUP(C145,キャラ!$A:$E,4,FALSE),"")="","",IFERROR(VLOOKUP(C145,キャラ!$A:$E,4,FALSE),"")&amp;"（"&amp;IF(D145="",IFERROR(VLOOKUP(C145,キャラ!$A:$E,5,FALSE),""),0.5)&amp;"）")&amp;IF(IFERROR(VLOOKUP(D145,キャラ!$A:$E,4,FALSE),"")="",""," / "&amp;IFERROR(VLOOKUP(D145,キャラ!$A:$E,4,FALSE),"")&amp;"（0.5）")</f>
        <v/>
      </c>
      <c r="M145" s="3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4">
        <f>IF(AND(C146="",F146=""),"",_xlfn.TEXTJOIN(", ",TRUE,共通設定!$B$2,E146,IFERROR(VLOOKUP(C146,キャラ!$A:$E,2,FALSE),""),IFERROR(VLOOKUP(C146,キャラ!$A:$E,3,FALSE),""),IFERROR(VLOOKUP(D146,キャラ!$A:$E,2,FALSE),""),IFERROR(VLOOKUP(D146,キャラ!$A:$E,3,FALSE),""),F146,G146,H146,I146))</f>
        <v/>
      </c>
      <c r="K146" s="4">
        <f>IF(OR(A146="",B146=""),"",共通設定!$B$4&amp;"/"&amp;A146&amp;"_c"&amp;TEXT(B146,"00"))</f>
        <v/>
      </c>
      <c r="L146" s="4">
        <f>IF(IFERROR(VLOOKUP(C146,キャラ!$A:$E,4,FALSE),"")="","",IFERROR(VLOOKUP(C146,キャラ!$A:$E,4,FALSE),"")&amp;"（"&amp;IF(D146="",IFERROR(VLOOKUP(C146,キャラ!$A:$E,5,FALSE),""),0.5)&amp;"）")&amp;IF(IFERROR(VLOOKUP(D146,キャラ!$A:$E,4,FALSE),"")="",""," / "&amp;IFERROR(VLOOKUP(D146,キャラ!$A:$E,4,FALSE),"")&amp;"（0.5）")</f>
        <v/>
      </c>
      <c r="M146" s="3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4">
        <f>IF(AND(C147="",F147=""),"",_xlfn.TEXTJOIN(", ",TRUE,共通設定!$B$2,E147,IFERROR(VLOOKUP(C147,キャラ!$A:$E,2,FALSE),""),IFERROR(VLOOKUP(C147,キャラ!$A:$E,3,FALSE),""),IFERROR(VLOOKUP(D147,キャラ!$A:$E,2,FALSE),""),IFERROR(VLOOKUP(D147,キャラ!$A:$E,3,FALSE),""),F147,G147,H147,I147))</f>
        <v/>
      </c>
      <c r="K147" s="4">
        <f>IF(OR(A147="",B147=""),"",共通設定!$B$4&amp;"/"&amp;A147&amp;"_c"&amp;TEXT(B147,"00"))</f>
        <v/>
      </c>
      <c r="L147" s="4">
        <f>IF(IFERROR(VLOOKUP(C147,キャラ!$A:$E,4,FALSE),"")="","",IFERROR(VLOOKUP(C147,キャラ!$A:$E,4,FALSE),"")&amp;"（"&amp;IF(D147="",IFERROR(VLOOKUP(C147,キャラ!$A:$E,5,FALSE),""),0.5)&amp;"）")&amp;IF(IFERROR(VLOOKUP(D147,キャラ!$A:$E,4,FALSE),"")="",""," / "&amp;IFERROR(VLOOKUP(D147,キャラ!$A:$E,4,FALSE),"")&amp;"（0.5）")</f>
        <v/>
      </c>
      <c r="M147" s="3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4">
        <f>IF(AND(C148="",F148=""),"",_xlfn.TEXTJOIN(", ",TRUE,共通設定!$B$2,E148,IFERROR(VLOOKUP(C148,キャラ!$A:$E,2,FALSE),""),IFERROR(VLOOKUP(C148,キャラ!$A:$E,3,FALSE),""),IFERROR(VLOOKUP(D148,キャラ!$A:$E,2,FALSE),""),IFERROR(VLOOKUP(D148,キャラ!$A:$E,3,FALSE),""),F148,G148,H148,I148))</f>
        <v/>
      </c>
      <c r="K148" s="4">
        <f>IF(OR(A148="",B148=""),"",共通設定!$B$4&amp;"/"&amp;A148&amp;"_c"&amp;TEXT(B148,"00"))</f>
        <v/>
      </c>
      <c r="L148" s="4">
        <f>IF(IFERROR(VLOOKUP(C148,キャラ!$A:$E,4,FALSE),"")="","",IFERROR(VLOOKUP(C148,キャラ!$A:$E,4,FALSE),"")&amp;"（"&amp;IF(D148="",IFERROR(VLOOKUP(C148,キャラ!$A:$E,5,FALSE),""),0.5)&amp;"）")&amp;IF(IFERROR(VLOOKUP(D148,キャラ!$A:$E,4,FALSE),"")="",""," / "&amp;IFERROR(VLOOKUP(D148,キャラ!$A:$E,4,FALSE),"")&amp;"（0.5）")</f>
        <v/>
      </c>
      <c r="M148" s="3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4">
        <f>IF(AND(C149="",F149=""),"",_xlfn.TEXTJOIN(", ",TRUE,共通設定!$B$2,E149,IFERROR(VLOOKUP(C149,キャラ!$A:$E,2,FALSE),""),IFERROR(VLOOKUP(C149,キャラ!$A:$E,3,FALSE),""),IFERROR(VLOOKUP(D149,キャラ!$A:$E,2,FALSE),""),IFERROR(VLOOKUP(D149,キャラ!$A:$E,3,FALSE),""),F149,G149,H149,I149))</f>
        <v/>
      </c>
      <c r="K149" s="4">
        <f>IF(OR(A149="",B149=""),"",共通設定!$B$4&amp;"/"&amp;A149&amp;"_c"&amp;TEXT(B149,"00"))</f>
        <v/>
      </c>
      <c r="L149" s="4">
        <f>IF(IFERROR(VLOOKUP(C149,キャラ!$A:$E,4,FALSE),"")="","",IFERROR(VLOOKUP(C149,キャラ!$A:$E,4,FALSE),"")&amp;"（"&amp;IF(D149="",IFERROR(VLOOKUP(C149,キャラ!$A:$E,5,FALSE),""),0.5)&amp;"）")&amp;IF(IFERROR(VLOOKUP(D149,キャラ!$A:$E,4,FALSE),"")="",""," / "&amp;IFERROR(VLOOKUP(D149,キャラ!$A:$E,4,FALSE),"")&amp;"（0.5）")</f>
        <v/>
      </c>
      <c r="M149" s="3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4">
        <f>IF(AND(C150="",F150=""),"",_xlfn.TEXTJOIN(", ",TRUE,共通設定!$B$2,E150,IFERROR(VLOOKUP(C150,キャラ!$A:$E,2,FALSE),""),IFERROR(VLOOKUP(C150,キャラ!$A:$E,3,FALSE),""),IFERROR(VLOOKUP(D150,キャラ!$A:$E,2,FALSE),""),IFERROR(VLOOKUP(D150,キャラ!$A:$E,3,FALSE),""),F150,G150,H150,I150))</f>
        <v/>
      </c>
      <c r="K150" s="4">
        <f>IF(OR(A150="",B150=""),"",共通設定!$B$4&amp;"/"&amp;A150&amp;"_c"&amp;TEXT(B150,"00"))</f>
        <v/>
      </c>
      <c r="L150" s="4">
        <f>IF(IFERROR(VLOOKUP(C150,キャラ!$A:$E,4,FALSE),"")="","",IFERROR(VLOOKUP(C150,キャラ!$A:$E,4,FALSE),"")&amp;"（"&amp;IF(D150="",IFERROR(VLOOKUP(C150,キャラ!$A:$E,5,FALSE),""),0.5)&amp;"）")&amp;IF(IFERROR(VLOOKUP(D150,キャラ!$A:$E,4,FALSE),"")="",""," / "&amp;IFERROR(VLOOKUP(D150,キャラ!$A:$E,4,FALSE),"")&amp;"（0.5）")</f>
        <v/>
      </c>
      <c r="M150" s="3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4">
        <f>IF(AND(C151="",F151=""),"",_xlfn.TEXTJOIN(", ",TRUE,共通設定!$B$2,E151,IFERROR(VLOOKUP(C151,キャラ!$A:$E,2,FALSE),""),IFERROR(VLOOKUP(C151,キャラ!$A:$E,3,FALSE),""),IFERROR(VLOOKUP(D151,キャラ!$A:$E,2,FALSE),""),IFERROR(VLOOKUP(D151,キャラ!$A:$E,3,FALSE),""),F151,G151,H151,I151))</f>
        <v/>
      </c>
      <c r="K151" s="4">
        <f>IF(OR(A151="",B151=""),"",共通設定!$B$4&amp;"/"&amp;A151&amp;"_c"&amp;TEXT(B151,"00"))</f>
        <v/>
      </c>
      <c r="L151" s="4">
        <f>IF(IFERROR(VLOOKUP(C151,キャラ!$A:$E,4,FALSE),"")="","",IFERROR(VLOOKUP(C151,キャラ!$A:$E,4,FALSE),"")&amp;"（"&amp;IF(D151="",IFERROR(VLOOKUP(C151,キャラ!$A:$E,5,FALSE),""),0.5)&amp;"）")&amp;IF(IFERROR(VLOOKUP(D151,キャラ!$A:$E,4,FALSE),"")="",""," / "&amp;IFERROR(VLOOKUP(D151,キャラ!$A:$E,4,FALSE),"")&amp;"（0.5）")</f>
        <v/>
      </c>
      <c r="M151" s="3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4">
        <f>IF(AND(C152="",F152=""),"",_xlfn.TEXTJOIN(", ",TRUE,共通設定!$B$2,E152,IFERROR(VLOOKUP(C152,キャラ!$A:$E,2,FALSE),""),IFERROR(VLOOKUP(C152,キャラ!$A:$E,3,FALSE),""),IFERROR(VLOOKUP(D152,キャラ!$A:$E,2,FALSE),""),IFERROR(VLOOKUP(D152,キャラ!$A:$E,3,FALSE),""),F152,G152,H152,I152))</f>
        <v/>
      </c>
      <c r="K152" s="4">
        <f>IF(OR(A152="",B152=""),"",共通設定!$B$4&amp;"/"&amp;A152&amp;"_c"&amp;TEXT(B152,"00"))</f>
        <v/>
      </c>
      <c r="L152" s="4">
        <f>IF(IFERROR(VLOOKUP(C152,キャラ!$A:$E,4,FALSE),"")="","",IFERROR(VLOOKUP(C152,キャラ!$A:$E,4,FALSE),"")&amp;"（"&amp;IF(D152="",IFERROR(VLOOKUP(C152,キャラ!$A:$E,5,FALSE),""),0.5)&amp;"）")&amp;IF(IFERROR(VLOOKUP(D152,キャラ!$A:$E,4,FALSE),"")="",""," / "&amp;IFERROR(VLOOKUP(D152,キャラ!$A:$E,4,FALSE),"")&amp;"（0.5）")</f>
        <v/>
      </c>
      <c r="M152" s="3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4">
        <f>IF(AND(C153="",F153=""),"",_xlfn.TEXTJOIN(", ",TRUE,共通設定!$B$2,E153,IFERROR(VLOOKUP(C153,キャラ!$A:$E,2,FALSE),""),IFERROR(VLOOKUP(C153,キャラ!$A:$E,3,FALSE),""),IFERROR(VLOOKUP(D153,キャラ!$A:$E,2,FALSE),""),IFERROR(VLOOKUP(D153,キャラ!$A:$E,3,FALSE),""),F153,G153,H153,I153))</f>
        <v/>
      </c>
      <c r="K153" s="4">
        <f>IF(OR(A153="",B153=""),"",共通設定!$B$4&amp;"/"&amp;A153&amp;"_c"&amp;TEXT(B153,"00"))</f>
        <v/>
      </c>
      <c r="L153" s="4">
        <f>IF(IFERROR(VLOOKUP(C153,キャラ!$A:$E,4,FALSE),"")="","",IFERROR(VLOOKUP(C153,キャラ!$A:$E,4,FALSE),"")&amp;"（"&amp;IF(D153="",IFERROR(VLOOKUP(C153,キャラ!$A:$E,5,FALSE),""),0.5)&amp;"）")&amp;IF(IFERROR(VLOOKUP(D153,キャラ!$A:$E,4,FALSE),"")="",""," / "&amp;IFERROR(VLOOKUP(D153,キャラ!$A:$E,4,FALSE),"")&amp;"（0.5）")</f>
        <v/>
      </c>
      <c r="M153" s="3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4">
        <f>IF(AND(C154="",F154=""),"",_xlfn.TEXTJOIN(", ",TRUE,共通設定!$B$2,E154,IFERROR(VLOOKUP(C154,キャラ!$A:$E,2,FALSE),""),IFERROR(VLOOKUP(C154,キャラ!$A:$E,3,FALSE),""),IFERROR(VLOOKUP(D154,キャラ!$A:$E,2,FALSE),""),IFERROR(VLOOKUP(D154,キャラ!$A:$E,3,FALSE),""),F154,G154,H154,I154))</f>
        <v/>
      </c>
      <c r="K154" s="4">
        <f>IF(OR(A154="",B154=""),"",共通設定!$B$4&amp;"/"&amp;A154&amp;"_c"&amp;TEXT(B154,"00"))</f>
        <v/>
      </c>
      <c r="L154" s="4">
        <f>IF(IFERROR(VLOOKUP(C154,キャラ!$A:$E,4,FALSE),"")="","",IFERROR(VLOOKUP(C154,キャラ!$A:$E,4,FALSE),"")&amp;"（"&amp;IF(D154="",IFERROR(VLOOKUP(C154,キャラ!$A:$E,5,FALSE),""),0.5)&amp;"）")&amp;IF(IFERROR(VLOOKUP(D154,キャラ!$A:$E,4,FALSE),"")="",""," / "&amp;IFERROR(VLOOKUP(D154,キャラ!$A:$E,4,FALSE),"")&amp;"（0.5）")</f>
        <v/>
      </c>
      <c r="M154" s="3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4">
        <f>IF(AND(C155="",F155=""),"",_xlfn.TEXTJOIN(", ",TRUE,共通設定!$B$2,E155,IFERROR(VLOOKUP(C155,キャラ!$A:$E,2,FALSE),""),IFERROR(VLOOKUP(C155,キャラ!$A:$E,3,FALSE),""),IFERROR(VLOOKUP(D155,キャラ!$A:$E,2,FALSE),""),IFERROR(VLOOKUP(D155,キャラ!$A:$E,3,FALSE),""),F155,G155,H155,I155))</f>
        <v/>
      </c>
      <c r="K155" s="4">
        <f>IF(OR(A155="",B155=""),"",共通設定!$B$4&amp;"/"&amp;A155&amp;"_c"&amp;TEXT(B155,"00"))</f>
        <v/>
      </c>
      <c r="L155" s="4">
        <f>IF(IFERROR(VLOOKUP(C155,キャラ!$A:$E,4,FALSE),"")="","",IFERROR(VLOOKUP(C155,キャラ!$A:$E,4,FALSE),"")&amp;"（"&amp;IF(D155="",IFERROR(VLOOKUP(C155,キャラ!$A:$E,5,FALSE),""),0.5)&amp;"）")&amp;IF(IFERROR(VLOOKUP(D155,キャラ!$A:$E,4,FALSE),"")="",""," / "&amp;IFERROR(VLOOKUP(D155,キャラ!$A:$E,4,FALSE),"")&amp;"（0.5）")</f>
        <v/>
      </c>
      <c r="M155" s="3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4">
        <f>IF(AND(C156="",F156=""),"",_xlfn.TEXTJOIN(", ",TRUE,共通設定!$B$2,E156,IFERROR(VLOOKUP(C156,キャラ!$A:$E,2,FALSE),""),IFERROR(VLOOKUP(C156,キャラ!$A:$E,3,FALSE),""),IFERROR(VLOOKUP(D156,キャラ!$A:$E,2,FALSE),""),IFERROR(VLOOKUP(D156,キャラ!$A:$E,3,FALSE),""),F156,G156,H156,I156))</f>
        <v/>
      </c>
      <c r="K156" s="4">
        <f>IF(OR(A156="",B156=""),"",共通設定!$B$4&amp;"/"&amp;A156&amp;"_c"&amp;TEXT(B156,"00"))</f>
        <v/>
      </c>
      <c r="L156" s="4">
        <f>IF(IFERROR(VLOOKUP(C156,キャラ!$A:$E,4,FALSE),"")="","",IFERROR(VLOOKUP(C156,キャラ!$A:$E,4,FALSE),"")&amp;"（"&amp;IF(D156="",IFERROR(VLOOKUP(C156,キャラ!$A:$E,5,FALSE),""),0.5)&amp;"）")&amp;IF(IFERROR(VLOOKUP(D156,キャラ!$A:$E,4,FALSE),"")="",""," / "&amp;IFERROR(VLOOKUP(D156,キャラ!$A:$E,4,FALSE),"")&amp;"（0.5）")</f>
        <v/>
      </c>
      <c r="M156" s="3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4">
        <f>IF(AND(C157="",F157=""),"",_xlfn.TEXTJOIN(", ",TRUE,共通設定!$B$2,E157,IFERROR(VLOOKUP(C157,キャラ!$A:$E,2,FALSE),""),IFERROR(VLOOKUP(C157,キャラ!$A:$E,3,FALSE),""),IFERROR(VLOOKUP(D157,キャラ!$A:$E,2,FALSE),""),IFERROR(VLOOKUP(D157,キャラ!$A:$E,3,FALSE),""),F157,G157,H157,I157))</f>
        <v/>
      </c>
      <c r="K157" s="4">
        <f>IF(OR(A157="",B157=""),"",共通設定!$B$4&amp;"/"&amp;A157&amp;"_c"&amp;TEXT(B157,"00"))</f>
        <v/>
      </c>
      <c r="L157" s="4">
        <f>IF(IFERROR(VLOOKUP(C157,キャラ!$A:$E,4,FALSE),"")="","",IFERROR(VLOOKUP(C157,キャラ!$A:$E,4,FALSE),"")&amp;"（"&amp;IF(D157="",IFERROR(VLOOKUP(C157,キャラ!$A:$E,5,FALSE),""),0.5)&amp;"）")&amp;IF(IFERROR(VLOOKUP(D157,キャラ!$A:$E,4,FALSE),"")="",""," / "&amp;IFERROR(VLOOKUP(D157,キャラ!$A:$E,4,FALSE),"")&amp;"（0.5）")</f>
        <v/>
      </c>
      <c r="M157" s="3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4">
        <f>IF(AND(C158="",F158=""),"",_xlfn.TEXTJOIN(", ",TRUE,共通設定!$B$2,E158,IFERROR(VLOOKUP(C158,キャラ!$A:$E,2,FALSE),""),IFERROR(VLOOKUP(C158,キャラ!$A:$E,3,FALSE),""),IFERROR(VLOOKUP(D158,キャラ!$A:$E,2,FALSE),""),IFERROR(VLOOKUP(D158,キャラ!$A:$E,3,FALSE),""),F158,G158,H158,I158))</f>
        <v/>
      </c>
      <c r="K158" s="4">
        <f>IF(OR(A158="",B158=""),"",共通設定!$B$4&amp;"/"&amp;A158&amp;"_c"&amp;TEXT(B158,"00"))</f>
        <v/>
      </c>
      <c r="L158" s="4">
        <f>IF(IFERROR(VLOOKUP(C158,キャラ!$A:$E,4,FALSE),"")="","",IFERROR(VLOOKUP(C158,キャラ!$A:$E,4,FALSE),"")&amp;"（"&amp;IF(D158="",IFERROR(VLOOKUP(C158,キャラ!$A:$E,5,FALSE),""),0.5)&amp;"）")&amp;IF(IFERROR(VLOOKUP(D158,キャラ!$A:$E,4,FALSE),"")="",""," / "&amp;IFERROR(VLOOKUP(D158,キャラ!$A:$E,4,FALSE),"")&amp;"（0.5）")</f>
        <v/>
      </c>
      <c r="M158" s="3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4">
        <f>IF(AND(C159="",F159=""),"",_xlfn.TEXTJOIN(", ",TRUE,共通設定!$B$2,E159,IFERROR(VLOOKUP(C159,キャラ!$A:$E,2,FALSE),""),IFERROR(VLOOKUP(C159,キャラ!$A:$E,3,FALSE),""),IFERROR(VLOOKUP(D159,キャラ!$A:$E,2,FALSE),""),IFERROR(VLOOKUP(D159,キャラ!$A:$E,3,FALSE),""),F159,G159,H159,I159))</f>
        <v/>
      </c>
      <c r="K159" s="4">
        <f>IF(OR(A159="",B159=""),"",共通設定!$B$4&amp;"/"&amp;A159&amp;"_c"&amp;TEXT(B159,"00"))</f>
        <v/>
      </c>
      <c r="L159" s="4">
        <f>IF(IFERROR(VLOOKUP(C159,キャラ!$A:$E,4,FALSE),"")="","",IFERROR(VLOOKUP(C159,キャラ!$A:$E,4,FALSE),"")&amp;"（"&amp;IF(D159="",IFERROR(VLOOKUP(C159,キャラ!$A:$E,5,FALSE),""),0.5)&amp;"）")&amp;IF(IFERROR(VLOOKUP(D159,キャラ!$A:$E,4,FALSE),"")="",""," / "&amp;IFERROR(VLOOKUP(D159,キャラ!$A:$E,4,FALSE),"")&amp;"（0.5）")</f>
        <v/>
      </c>
      <c r="M159" s="3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4">
        <f>IF(AND(C160="",F160=""),"",_xlfn.TEXTJOIN(", ",TRUE,共通設定!$B$2,E160,IFERROR(VLOOKUP(C160,キャラ!$A:$E,2,FALSE),""),IFERROR(VLOOKUP(C160,キャラ!$A:$E,3,FALSE),""),IFERROR(VLOOKUP(D160,キャラ!$A:$E,2,FALSE),""),IFERROR(VLOOKUP(D160,キャラ!$A:$E,3,FALSE),""),F160,G160,H160,I160))</f>
        <v/>
      </c>
      <c r="K160" s="4">
        <f>IF(OR(A160="",B160=""),"",共通設定!$B$4&amp;"/"&amp;A160&amp;"_c"&amp;TEXT(B160,"00"))</f>
        <v/>
      </c>
      <c r="L160" s="4">
        <f>IF(IFERROR(VLOOKUP(C160,キャラ!$A:$E,4,FALSE),"")="","",IFERROR(VLOOKUP(C160,キャラ!$A:$E,4,FALSE),"")&amp;"（"&amp;IF(D160="",IFERROR(VLOOKUP(C160,キャラ!$A:$E,5,FALSE),""),0.5)&amp;"）")&amp;IF(IFERROR(VLOOKUP(D160,キャラ!$A:$E,4,FALSE),"")="",""," / "&amp;IFERROR(VLOOKUP(D160,キャラ!$A:$E,4,FALSE),"")&amp;"（0.5）")</f>
        <v/>
      </c>
      <c r="M160" s="3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4">
        <f>IF(AND(C161="",F161=""),"",_xlfn.TEXTJOIN(", ",TRUE,共通設定!$B$2,E161,IFERROR(VLOOKUP(C161,キャラ!$A:$E,2,FALSE),""),IFERROR(VLOOKUP(C161,キャラ!$A:$E,3,FALSE),""),IFERROR(VLOOKUP(D161,キャラ!$A:$E,2,FALSE),""),IFERROR(VLOOKUP(D161,キャラ!$A:$E,3,FALSE),""),F161,G161,H161,I161))</f>
        <v/>
      </c>
      <c r="K161" s="4">
        <f>IF(OR(A161="",B161=""),"",共通設定!$B$4&amp;"/"&amp;A161&amp;"_c"&amp;TEXT(B161,"00"))</f>
        <v/>
      </c>
      <c r="L161" s="4">
        <f>IF(IFERROR(VLOOKUP(C161,キャラ!$A:$E,4,FALSE),"")="","",IFERROR(VLOOKUP(C161,キャラ!$A:$E,4,FALSE),"")&amp;"（"&amp;IF(D161="",IFERROR(VLOOKUP(C161,キャラ!$A:$E,5,FALSE),""),0.5)&amp;"）")&amp;IF(IFERROR(VLOOKUP(D161,キャラ!$A:$E,4,FALSE),"")="",""," / "&amp;IFERROR(VLOOKUP(D161,キャラ!$A:$E,4,FALSE),"")&amp;"（0.5）")</f>
        <v/>
      </c>
      <c r="M161" s="3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4">
        <f>IF(AND(C162="",F162=""),"",_xlfn.TEXTJOIN(", ",TRUE,共通設定!$B$2,E162,IFERROR(VLOOKUP(C162,キャラ!$A:$E,2,FALSE),""),IFERROR(VLOOKUP(C162,キャラ!$A:$E,3,FALSE),""),IFERROR(VLOOKUP(D162,キャラ!$A:$E,2,FALSE),""),IFERROR(VLOOKUP(D162,キャラ!$A:$E,3,FALSE),""),F162,G162,H162,I162))</f>
        <v/>
      </c>
      <c r="K162" s="4">
        <f>IF(OR(A162="",B162=""),"",共通設定!$B$4&amp;"/"&amp;A162&amp;"_c"&amp;TEXT(B162,"00"))</f>
        <v/>
      </c>
      <c r="L162" s="4">
        <f>IF(IFERROR(VLOOKUP(C162,キャラ!$A:$E,4,FALSE),"")="","",IFERROR(VLOOKUP(C162,キャラ!$A:$E,4,FALSE),"")&amp;"（"&amp;IF(D162="",IFERROR(VLOOKUP(C162,キャラ!$A:$E,5,FALSE),""),0.5)&amp;"）")&amp;IF(IFERROR(VLOOKUP(D162,キャラ!$A:$E,4,FALSE),"")="",""," / "&amp;IFERROR(VLOOKUP(D162,キャラ!$A:$E,4,FALSE),"")&amp;"（0.5）")</f>
        <v/>
      </c>
      <c r="M162" s="3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4">
        <f>IF(AND(C163="",F163=""),"",_xlfn.TEXTJOIN(", ",TRUE,共通設定!$B$2,E163,IFERROR(VLOOKUP(C163,キャラ!$A:$E,2,FALSE),""),IFERROR(VLOOKUP(C163,キャラ!$A:$E,3,FALSE),""),IFERROR(VLOOKUP(D163,キャラ!$A:$E,2,FALSE),""),IFERROR(VLOOKUP(D163,キャラ!$A:$E,3,FALSE),""),F163,G163,H163,I163))</f>
        <v/>
      </c>
      <c r="K163" s="4">
        <f>IF(OR(A163="",B163=""),"",共通設定!$B$4&amp;"/"&amp;A163&amp;"_c"&amp;TEXT(B163,"00"))</f>
        <v/>
      </c>
      <c r="L163" s="4">
        <f>IF(IFERROR(VLOOKUP(C163,キャラ!$A:$E,4,FALSE),"")="","",IFERROR(VLOOKUP(C163,キャラ!$A:$E,4,FALSE),"")&amp;"（"&amp;IF(D163="",IFERROR(VLOOKUP(C163,キャラ!$A:$E,5,FALSE),""),0.5)&amp;"）")&amp;IF(IFERROR(VLOOKUP(D163,キャラ!$A:$E,4,FALSE),"")="",""," / "&amp;IFERROR(VLOOKUP(D163,キャラ!$A:$E,4,FALSE),"")&amp;"（0.5）")</f>
        <v/>
      </c>
      <c r="M163" s="3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4">
        <f>IF(AND(C164="",F164=""),"",_xlfn.TEXTJOIN(", ",TRUE,共通設定!$B$2,E164,IFERROR(VLOOKUP(C164,キャラ!$A:$E,2,FALSE),""),IFERROR(VLOOKUP(C164,キャラ!$A:$E,3,FALSE),""),IFERROR(VLOOKUP(D164,キャラ!$A:$E,2,FALSE),""),IFERROR(VLOOKUP(D164,キャラ!$A:$E,3,FALSE),""),F164,G164,H164,I164))</f>
        <v/>
      </c>
      <c r="K164" s="4">
        <f>IF(OR(A164="",B164=""),"",共通設定!$B$4&amp;"/"&amp;A164&amp;"_c"&amp;TEXT(B164,"00"))</f>
        <v/>
      </c>
      <c r="L164" s="4">
        <f>IF(IFERROR(VLOOKUP(C164,キャラ!$A:$E,4,FALSE),"")="","",IFERROR(VLOOKUP(C164,キャラ!$A:$E,4,FALSE),"")&amp;"（"&amp;IF(D164="",IFERROR(VLOOKUP(C164,キャラ!$A:$E,5,FALSE),""),0.5)&amp;"）")&amp;IF(IFERROR(VLOOKUP(D164,キャラ!$A:$E,4,FALSE),"")="",""," / "&amp;IFERROR(VLOOKUP(D164,キャラ!$A:$E,4,FALSE),"")&amp;"（0.5）")</f>
        <v/>
      </c>
      <c r="M164" s="3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4">
        <f>IF(AND(C165="",F165=""),"",_xlfn.TEXTJOIN(", ",TRUE,共通設定!$B$2,E165,IFERROR(VLOOKUP(C165,キャラ!$A:$E,2,FALSE),""),IFERROR(VLOOKUP(C165,キャラ!$A:$E,3,FALSE),""),IFERROR(VLOOKUP(D165,キャラ!$A:$E,2,FALSE),""),IFERROR(VLOOKUP(D165,キャラ!$A:$E,3,FALSE),""),F165,G165,H165,I165))</f>
        <v/>
      </c>
      <c r="K165" s="4">
        <f>IF(OR(A165="",B165=""),"",共通設定!$B$4&amp;"/"&amp;A165&amp;"_c"&amp;TEXT(B165,"00"))</f>
        <v/>
      </c>
      <c r="L165" s="4">
        <f>IF(IFERROR(VLOOKUP(C165,キャラ!$A:$E,4,FALSE),"")="","",IFERROR(VLOOKUP(C165,キャラ!$A:$E,4,FALSE),"")&amp;"（"&amp;IF(D165="",IFERROR(VLOOKUP(C165,キャラ!$A:$E,5,FALSE),""),0.5)&amp;"）")&amp;IF(IFERROR(VLOOKUP(D165,キャラ!$A:$E,4,FALSE),"")="",""," / "&amp;IFERROR(VLOOKUP(D165,キャラ!$A:$E,4,FALSE),"")&amp;"（0.5）")</f>
        <v/>
      </c>
      <c r="M165" s="3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4">
        <f>IF(AND(C166="",F166=""),"",_xlfn.TEXTJOIN(", ",TRUE,共通設定!$B$2,E166,IFERROR(VLOOKUP(C166,キャラ!$A:$E,2,FALSE),""),IFERROR(VLOOKUP(C166,キャラ!$A:$E,3,FALSE),""),IFERROR(VLOOKUP(D166,キャラ!$A:$E,2,FALSE),""),IFERROR(VLOOKUP(D166,キャラ!$A:$E,3,FALSE),""),F166,G166,H166,I166))</f>
        <v/>
      </c>
      <c r="K166" s="4">
        <f>IF(OR(A166="",B166=""),"",共通設定!$B$4&amp;"/"&amp;A166&amp;"_c"&amp;TEXT(B166,"00"))</f>
        <v/>
      </c>
      <c r="L166" s="4">
        <f>IF(IFERROR(VLOOKUP(C166,キャラ!$A:$E,4,FALSE),"")="","",IFERROR(VLOOKUP(C166,キャラ!$A:$E,4,FALSE),"")&amp;"（"&amp;IF(D166="",IFERROR(VLOOKUP(C166,キャラ!$A:$E,5,FALSE),""),0.5)&amp;"）")&amp;IF(IFERROR(VLOOKUP(D166,キャラ!$A:$E,4,FALSE),"")="",""," / "&amp;IFERROR(VLOOKUP(D166,キャラ!$A:$E,4,FALSE),"")&amp;"（0.5）")</f>
        <v/>
      </c>
      <c r="M166" s="3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4">
        <f>IF(AND(C167="",F167=""),"",_xlfn.TEXTJOIN(", ",TRUE,共通設定!$B$2,E167,IFERROR(VLOOKUP(C167,キャラ!$A:$E,2,FALSE),""),IFERROR(VLOOKUP(C167,キャラ!$A:$E,3,FALSE),""),IFERROR(VLOOKUP(D167,キャラ!$A:$E,2,FALSE),""),IFERROR(VLOOKUP(D167,キャラ!$A:$E,3,FALSE),""),F167,G167,H167,I167))</f>
        <v/>
      </c>
      <c r="K167" s="4">
        <f>IF(OR(A167="",B167=""),"",共通設定!$B$4&amp;"/"&amp;A167&amp;"_c"&amp;TEXT(B167,"00"))</f>
        <v/>
      </c>
      <c r="L167" s="4">
        <f>IF(IFERROR(VLOOKUP(C167,キャラ!$A:$E,4,FALSE),"")="","",IFERROR(VLOOKUP(C167,キャラ!$A:$E,4,FALSE),"")&amp;"（"&amp;IF(D167="",IFERROR(VLOOKUP(C167,キャラ!$A:$E,5,FALSE),""),0.5)&amp;"）")&amp;IF(IFERROR(VLOOKUP(D167,キャラ!$A:$E,4,FALSE),"")="",""," / "&amp;IFERROR(VLOOKUP(D167,キャラ!$A:$E,4,FALSE),"")&amp;"（0.5）")</f>
        <v/>
      </c>
      <c r="M167" s="3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4">
        <f>IF(AND(C168="",F168=""),"",_xlfn.TEXTJOIN(", ",TRUE,共通設定!$B$2,E168,IFERROR(VLOOKUP(C168,キャラ!$A:$E,2,FALSE),""),IFERROR(VLOOKUP(C168,キャラ!$A:$E,3,FALSE),""),IFERROR(VLOOKUP(D168,キャラ!$A:$E,2,FALSE),""),IFERROR(VLOOKUP(D168,キャラ!$A:$E,3,FALSE),""),F168,G168,H168,I168))</f>
        <v/>
      </c>
      <c r="K168" s="4">
        <f>IF(OR(A168="",B168=""),"",共通設定!$B$4&amp;"/"&amp;A168&amp;"_c"&amp;TEXT(B168,"00"))</f>
        <v/>
      </c>
      <c r="L168" s="4">
        <f>IF(IFERROR(VLOOKUP(C168,キャラ!$A:$E,4,FALSE),"")="","",IFERROR(VLOOKUP(C168,キャラ!$A:$E,4,FALSE),"")&amp;"（"&amp;IF(D168="",IFERROR(VLOOKUP(C168,キャラ!$A:$E,5,FALSE),""),0.5)&amp;"）")&amp;IF(IFERROR(VLOOKUP(D168,キャラ!$A:$E,4,FALSE),"")="",""," / "&amp;IFERROR(VLOOKUP(D168,キャラ!$A:$E,4,FALSE),"")&amp;"（0.5）")</f>
        <v/>
      </c>
      <c r="M168" s="3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4">
        <f>IF(AND(C169="",F169=""),"",_xlfn.TEXTJOIN(", ",TRUE,共通設定!$B$2,E169,IFERROR(VLOOKUP(C169,キャラ!$A:$E,2,FALSE),""),IFERROR(VLOOKUP(C169,キャラ!$A:$E,3,FALSE),""),IFERROR(VLOOKUP(D169,キャラ!$A:$E,2,FALSE),""),IFERROR(VLOOKUP(D169,キャラ!$A:$E,3,FALSE),""),F169,G169,H169,I169))</f>
        <v/>
      </c>
      <c r="K169" s="4">
        <f>IF(OR(A169="",B169=""),"",共通設定!$B$4&amp;"/"&amp;A169&amp;"_c"&amp;TEXT(B169,"00"))</f>
        <v/>
      </c>
      <c r="L169" s="4">
        <f>IF(IFERROR(VLOOKUP(C169,キャラ!$A:$E,4,FALSE),"")="","",IFERROR(VLOOKUP(C169,キャラ!$A:$E,4,FALSE),"")&amp;"（"&amp;IF(D169="",IFERROR(VLOOKUP(C169,キャラ!$A:$E,5,FALSE),""),0.5)&amp;"）")&amp;IF(IFERROR(VLOOKUP(D169,キャラ!$A:$E,4,FALSE),"")="",""," / "&amp;IFERROR(VLOOKUP(D169,キャラ!$A:$E,4,FALSE),"")&amp;"（0.5）")</f>
        <v/>
      </c>
      <c r="M169" s="3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4">
        <f>IF(AND(C170="",F170=""),"",_xlfn.TEXTJOIN(", ",TRUE,共通設定!$B$2,E170,IFERROR(VLOOKUP(C170,キャラ!$A:$E,2,FALSE),""),IFERROR(VLOOKUP(C170,キャラ!$A:$E,3,FALSE),""),IFERROR(VLOOKUP(D170,キャラ!$A:$E,2,FALSE),""),IFERROR(VLOOKUP(D170,キャラ!$A:$E,3,FALSE),""),F170,G170,H170,I170))</f>
        <v/>
      </c>
      <c r="K170" s="4">
        <f>IF(OR(A170="",B170=""),"",共通設定!$B$4&amp;"/"&amp;A170&amp;"_c"&amp;TEXT(B170,"00"))</f>
        <v/>
      </c>
      <c r="L170" s="4">
        <f>IF(IFERROR(VLOOKUP(C170,キャラ!$A:$E,4,FALSE),"")="","",IFERROR(VLOOKUP(C170,キャラ!$A:$E,4,FALSE),"")&amp;"（"&amp;IF(D170="",IFERROR(VLOOKUP(C170,キャラ!$A:$E,5,FALSE),""),0.5)&amp;"）")&amp;IF(IFERROR(VLOOKUP(D170,キャラ!$A:$E,4,FALSE),"")="",""," / "&amp;IFERROR(VLOOKUP(D170,キャラ!$A:$E,4,FALSE),"")&amp;"（0.5）")</f>
        <v/>
      </c>
      <c r="M170" s="3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4">
        <f>IF(AND(C171="",F171=""),"",_xlfn.TEXTJOIN(", ",TRUE,共通設定!$B$2,E171,IFERROR(VLOOKUP(C171,キャラ!$A:$E,2,FALSE),""),IFERROR(VLOOKUP(C171,キャラ!$A:$E,3,FALSE),""),IFERROR(VLOOKUP(D171,キャラ!$A:$E,2,FALSE),""),IFERROR(VLOOKUP(D171,キャラ!$A:$E,3,FALSE),""),F171,G171,H171,I171))</f>
        <v/>
      </c>
      <c r="K171" s="4">
        <f>IF(OR(A171="",B171=""),"",共通設定!$B$4&amp;"/"&amp;A171&amp;"_c"&amp;TEXT(B171,"00"))</f>
        <v/>
      </c>
      <c r="L171" s="4">
        <f>IF(IFERROR(VLOOKUP(C171,キャラ!$A:$E,4,FALSE),"")="","",IFERROR(VLOOKUP(C171,キャラ!$A:$E,4,FALSE),"")&amp;"（"&amp;IF(D171="",IFERROR(VLOOKUP(C171,キャラ!$A:$E,5,FALSE),""),0.5)&amp;"）")&amp;IF(IFERROR(VLOOKUP(D171,キャラ!$A:$E,4,FALSE),"")="",""," / "&amp;IFERROR(VLOOKUP(D171,キャラ!$A:$E,4,FALSE),"")&amp;"（0.5）")</f>
        <v/>
      </c>
      <c r="M171" s="3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4">
        <f>IF(AND(C172="",F172=""),"",_xlfn.TEXTJOIN(", ",TRUE,共通設定!$B$2,E172,IFERROR(VLOOKUP(C172,キャラ!$A:$E,2,FALSE),""),IFERROR(VLOOKUP(C172,キャラ!$A:$E,3,FALSE),""),IFERROR(VLOOKUP(D172,キャラ!$A:$E,2,FALSE),""),IFERROR(VLOOKUP(D172,キャラ!$A:$E,3,FALSE),""),F172,G172,H172,I172))</f>
        <v/>
      </c>
      <c r="K172" s="4">
        <f>IF(OR(A172="",B172=""),"",共通設定!$B$4&amp;"/"&amp;A172&amp;"_c"&amp;TEXT(B172,"00"))</f>
        <v/>
      </c>
      <c r="L172" s="4">
        <f>IF(IFERROR(VLOOKUP(C172,キャラ!$A:$E,4,FALSE),"")="","",IFERROR(VLOOKUP(C172,キャラ!$A:$E,4,FALSE),"")&amp;"（"&amp;IF(D172="",IFERROR(VLOOKUP(C172,キャラ!$A:$E,5,FALSE),""),0.5)&amp;"）")&amp;IF(IFERROR(VLOOKUP(D172,キャラ!$A:$E,4,FALSE),"")="",""," / "&amp;IFERROR(VLOOKUP(D172,キャラ!$A:$E,4,FALSE),"")&amp;"（0.5）")</f>
        <v/>
      </c>
      <c r="M172" s="3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4">
        <f>IF(AND(C173="",F173=""),"",_xlfn.TEXTJOIN(", ",TRUE,共通設定!$B$2,E173,IFERROR(VLOOKUP(C173,キャラ!$A:$E,2,FALSE),""),IFERROR(VLOOKUP(C173,キャラ!$A:$E,3,FALSE),""),IFERROR(VLOOKUP(D173,キャラ!$A:$E,2,FALSE),""),IFERROR(VLOOKUP(D173,キャラ!$A:$E,3,FALSE),""),F173,G173,H173,I173))</f>
        <v/>
      </c>
      <c r="K173" s="4">
        <f>IF(OR(A173="",B173=""),"",共通設定!$B$4&amp;"/"&amp;A173&amp;"_c"&amp;TEXT(B173,"00"))</f>
        <v/>
      </c>
      <c r="L173" s="4">
        <f>IF(IFERROR(VLOOKUP(C173,キャラ!$A:$E,4,FALSE),"")="","",IFERROR(VLOOKUP(C173,キャラ!$A:$E,4,FALSE),"")&amp;"（"&amp;IF(D173="",IFERROR(VLOOKUP(C173,キャラ!$A:$E,5,FALSE),""),0.5)&amp;"）")&amp;IF(IFERROR(VLOOKUP(D173,キャラ!$A:$E,4,FALSE),"")="",""," / "&amp;IFERROR(VLOOKUP(D173,キャラ!$A:$E,4,FALSE),"")&amp;"（0.5）")</f>
        <v/>
      </c>
      <c r="M173" s="3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4">
        <f>IF(AND(C174="",F174=""),"",_xlfn.TEXTJOIN(", ",TRUE,共通設定!$B$2,E174,IFERROR(VLOOKUP(C174,キャラ!$A:$E,2,FALSE),""),IFERROR(VLOOKUP(C174,キャラ!$A:$E,3,FALSE),""),IFERROR(VLOOKUP(D174,キャラ!$A:$E,2,FALSE),""),IFERROR(VLOOKUP(D174,キャラ!$A:$E,3,FALSE),""),F174,G174,H174,I174))</f>
        <v/>
      </c>
      <c r="K174" s="4">
        <f>IF(OR(A174="",B174=""),"",共通設定!$B$4&amp;"/"&amp;A174&amp;"_c"&amp;TEXT(B174,"00"))</f>
        <v/>
      </c>
      <c r="L174" s="4">
        <f>IF(IFERROR(VLOOKUP(C174,キャラ!$A:$E,4,FALSE),"")="","",IFERROR(VLOOKUP(C174,キャラ!$A:$E,4,FALSE),"")&amp;"（"&amp;IF(D174="",IFERROR(VLOOKUP(C174,キャラ!$A:$E,5,FALSE),""),0.5)&amp;"）")&amp;IF(IFERROR(VLOOKUP(D174,キャラ!$A:$E,4,FALSE),"")="",""," / "&amp;IFERROR(VLOOKUP(D174,キャラ!$A:$E,4,FALSE),"")&amp;"（0.5）")</f>
        <v/>
      </c>
      <c r="M174" s="3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4">
        <f>IF(AND(C175="",F175=""),"",_xlfn.TEXTJOIN(", ",TRUE,共通設定!$B$2,E175,IFERROR(VLOOKUP(C175,キャラ!$A:$E,2,FALSE),""),IFERROR(VLOOKUP(C175,キャラ!$A:$E,3,FALSE),""),IFERROR(VLOOKUP(D175,キャラ!$A:$E,2,FALSE),""),IFERROR(VLOOKUP(D175,キャラ!$A:$E,3,FALSE),""),F175,G175,H175,I175))</f>
        <v/>
      </c>
      <c r="K175" s="4">
        <f>IF(OR(A175="",B175=""),"",共通設定!$B$4&amp;"/"&amp;A175&amp;"_c"&amp;TEXT(B175,"00"))</f>
        <v/>
      </c>
      <c r="L175" s="4">
        <f>IF(IFERROR(VLOOKUP(C175,キャラ!$A:$E,4,FALSE),"")="","",IFERROR(VLOOKUP(C175,キャラ!$A:$E,4,FALSE),"")&amp;"（"&amp;IF(D175="",IFERROR(VLOOKUP(C175,キャラ!$A:$E,5,FALSE),""),0.5)&amp;"）")&amp;IF(IFERROR(VLOOKUP(D175,キャラ!$A:$E,4,FALSE),"")="",""," / "&amp;IFERROR(VLOOKUP(D175,キャラ!$A:$E,4,FALSE),"")&amp;"（0.5）")</f>
        <v/>
      </c>
      <c r="M175" s="3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4">
        <f>IF(AND(C176="",F176=""),"",_xlfn.TEXTJOIN(", ",TRUE,共通設定!$B$2,E176,IFERROR(VLOOKUP(C176,キャラ!$A:$E,2,FALSE),""),IFERROR(VLOOKUP(C176,キャラ!$A:$E,3,FALSE),""),IFERROR(VLOOKUP(D176,キャラ!$A:$E,2,FALSE),""),IFERROR(VLOOKUP(D176,キャラ!$A:$E,3,FALSE),""),F176,G176,H176,I176))</f>
        <v/>
      </c>
      <c r="K176" s="4">
        <f>IF(OR(A176="",B176=""),"",共通設定!$B$4&amp;"/"&amp;A176&amp;"_c"&amp;TEXT(B176,"00"))</f>
        <v/>
      </c>
      <c r="L176" s="4">
        <f>IF(IFERROR(VLOOKUP(C176,キャラ!$A:$E,4,FALSE),"")="","",IFERROR(VLOOKUP(C176,キャラ!$A:$E,4,FALSE),"")&amp;"（"&amp;IF(D176="",IFERROR(VLOOKUP(C176,キャラ!$A:$E,5,FALSE),""),0.5)&amp;"）")&amp;IF(IFERROR(VLOOKUP(D176,キャラ!$A:$E,4,FALSE),"")="",""," / "&amp;IFERROR(VLOOKUP(D176,キャラ!$A:$E,4,FALSE),"")&amp;"（0.5）")</f>
        <v/>
      </c>
      <c r="M176" s="3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4">
        <f>IF(AND(C177="",F177=""),"",_xlfn.TEXTJOIN(", ",TRUE,共通設定!$B$2,E177,IFERROR(VLOOKUP(C177,キャラ!$A:$E,2,FALSE),""),IFERROR(VLOOKUP(C177,キャラ!$A:$E,3,FALSE),""),IFERROR(VLOOKUP(D177,キャラ!$A:$E,2,FALSE),""),IFERROR(VLOOKUP(D177,キャラ!$A:$E,3,FALSE),""),F177,G177,H177,I177))</f>
        <v/>
      </c>
      <c r="K177" s="4">
        <f>IF(OR(A177="",B177=""),"",共通設定!$B$4&amp;"/"&amp;A177&amp;"_c"&amp;TEXT(B177,"00"))</f>
        <v/>
      </c>
      <c r="L177" s="4">
        <f>IF(IFERROR(VLOOKUP(C177,キャラ!$A:$E,4,FALSE),"")="","",IFERROR(VLOOKUP(C177,キャラ!$A:$E,4,FALSE),"")&amp;"（"&amp;IF(D177="",IFERROR(VLOOKUP(C177,キャラ!$A:$E,5,FALSE),""),0.5)&amp;"）")&amp;IF(IFERROR(VLOOKUP(D177,キャラ!$A:$E,4,FALSE),"")="",""," / "&amp;IFERROR(VLOOKUP(D177,キャラ!$A:$E,4,FALSE),"")&amp;"（0.5）")</f>
        <v/>
      </c>
      <c r="M177" s="3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4">
        <f>IF(AND(C178="",F178=""),"",_xlfn.TEXTJOIN(", ",TRUE,共通設定!$B$2,E178,IFERROR(VLOOKUP(C178,キャラ!$A:$E,2,FALSE),""),IFERROR(VLOOKUP(C178,キャラ!$A:$E,3,FALSE),""),IFERROR(VLOOKUP(D178,キャラ!$A:$E,2,FALSE),""),IFERROR(VLOOKUP(D178,キャラ!$A:$E,3,FALSE),""),F178,G178,H178,I178))</f>
        <v/>
      </c>
      <c r="K178" s="4">
        <f>IF(OR(A178="",B178=""),"",共通設定!$B$4&amp;"/"&amp;A178&amp;"_c"&amp;TEXT(B178,"00"))</f>
        <v/>
      </c>
      <c r="L178" s="4">
        <f>IF(IFERROR(VLOOKUP(C178,キャラ!$A:$E,4,FALSE),"")="","",IFERROR(VLOOKUP(C178,キャラ!$A:$E,4,FALSE),"")&amp;"（"&amp;IF(D178="",IFERROR(VLOOKUP(C178,キャラ!$A:$E,5,FALSE),""),0.5)&amp;"）")&amp;IF(IFERROR(VLOOKUP(D178,キャラ!$A:$E,4,FALSE),"")="",""," / "&amp;IFERROR(VLOOKUP(D178,キャラ!$A:$E,4,FALSE),"")&amp;"（0.5）")</f>
        <v/>
      </c>
      <c r="M178" s="3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4">
        <f>IF(AND(C179="",F179=""),"",_xlfn.TEXTJOIN(", ",TRUE,共通設定!$B$2,E179,IFERROR(VLOOKUP(C179,キャラ!$A:$E,2,FALSE),""),IFERROR(VLOOKUP(C179,キャラ!$A:$E,3,FALSE),""),IFERROR(VLOOKUP(D179,キャラ!$A:$E,2,FALSE),""),IFERROR(VLOOKUP(D179,キャラ!$A:$E,3,FALSE),""),F179,G179,H179,I179))</f>
        <v/>
      </c>
      <c r="K179" s="4">
        <f>IF(OR(A179="",B179=""),"",共通設定!$B$4&amp;"/"&amp;A179&amp;"_c"&amp;TEXT(B179,"00"))</f>
        <v/>
      </c>
      <c r="L179" s="4">
        <f>IF(IFERROR(VLOOKUP(C179,キャラ!$A:$E,4,FALSE),"")="","",IFERROR(VLOOKUP(C179,キャラ!$A:$E,4,FALSE),"")&amp;"（"&amp;IF(D179="",IFERROR(VLOOKUP(C179,キャラ!$A:$E,5,FALSE),""),0.5)&amp;"）")&amp;IF(IFERROR(VLOOKUP(D179,キャラ!$A:$E,4,FALSE),"")="",""," / "&amp;IFERROR(VLOOKUP(D179,キャラ!$A:$E,4,FALSE),"")&amp;"（0.5）")</f>
        <v/>
      </c>
      <c r="M179" s="3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4">
        <f>IF(AND(C180="",F180=""),"",_xlfn.TEXTJOIN(", ",TRUE,共通設定!$B$2,E180,IFERROR(VLOOKUP(C180,キャラ!$A:$E,2,FALSE),""),IFERROR(VLOOKUP(C180,キャラ!$A:$E,3,FALSE),""),IFERROR(VLOOKUP(D180,キャラ!$A:$E,2,FALSE),""),IFERROR(VLOOKUP(D180,キャラ!$A:$E,3,FALSE),""),F180,G180,H180,I180))</f>
        <v/>
      </c>
      <c r="K180" s="4">
        <f>IF(OR(A180="",B180=""),"",共通設定!$B$4&amp;"/"&amp;A180&amp;"_c"&amp;TEXT(B180,"00"))</f>
        <v/>
      </c>
      <c r="L180" s="4">
        <f>IF(IFERROR(VLOOKUP(C180,キャラ!$A:$E,4,FALSE),"")="","",IFERROR(VLOOKUP(C180,キャラ!$A:$E,4,FALSE),"")&amp;"（"&amp;IF(D180="",IFERROR(VLOOKUP(C180,キャラ!$A:$E,5,FALSE),""),0.5)&amp;"）")&amp;IF(IFERROR(VLOOKUP(D180,キャラ!$A:$E,4,FALSE),"")="",""," / "&amp;IFERROR(VLOOKUP(D180,キャラ!$A:$E,4,FALSE),"")&amp;"（0.5）")</f>
        <v/>
      </c>
      <c r="M180" s="3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4">
        <f>IF(AND(C181="",F181=""),"",_xlfn.TEXTJOIN(", ",TRUE,共通設定!$B$2,E181,IFERROR(VLOOKUP(C181,キャラ!$A:$E,2,FALSE),""),IFERROR(VLOOKUP(C181,キャラ!$A:$E,3,FALSE),""),IFERROR(VLOOKUP(D181,キャラ!$A:$E,2,FALSE),""),IFERROR(VLOOKUP(D181,キャラ!$A:$E,3,FALSE),""),F181,G181,H181,I181))</f>
        <v/>
      </c>
      <c r="K181" s="4">
        <f>IF(OR(A181="",B181=""),"",共通設定!$B$4&amp;"/"&amp;A181&amp;"_c"&amp;TEXT(B181,"00"))</f>
        <v/>
      </c>
      <c r="L181" s="4">
        <f>IF(IFERROR(VLOOKUP(C181,キャラ!$A:$E,4,FALSE),"")="","",IFERROR(VLOOKUP(C181,キャラ!$A:$E,4,FALSE),"")&amp;"（"&amp;IF(D181="",IFERROR(VLOOKUP(C181,キャラ!$A:$E,5,FALSE),""),0.5)&amp;"）")&amp;IF(IFERROR(VLOOKUP(D181,キャラ!$A:$E,4,FALSE),"")="",""," / "&amp;IFERROR(VLOOKUP(D181,キャラ!$A:$E,4,FALSE),"")&amp;"（0.5）")</f>
        <v/>
      </c>
      <c r="M181" s="3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4">
        <f>IF(AND(C182="",F182=""),"",_xlfn.TEXTJOIN(", ",TRUE,共通設定!$B$2,E182,IFERROR(VLOOKUP(C182,キャラ!$A:$E,2,FALSE),""),IFERROR(VLOOKUP(C182,キャラ!$A:$E,3,FALSE),""),IFERROR(VLOOKUP(D182,キャラ!$A:$E,2,FALSE),""),IFERROR(VLOOKUP(D182,キャラ!$A:$E,3,FALSE),""),F182,G182,H182,I182))</f>
        <v/>
      </c>
      <c r="K182" s="4">
        <f>IF(OR(A182="",B182=""),"",共通設定!$B$4&amp;"/"&amp;A182&amp;"_c"&amp;TEXT(B182,"00"))</f>
        <v/>
      </c>
      <c r="L182" s="4">
        <f>IF(IFERROR(VLOOKUP(C182,キャラ!$A:$E,4,FALSE),"")="","",IFERROR(VLOOKUP(C182,キャラ!$A:$E,4,FALSE),"")&amp;"（"&amp;IF(D182="",IFERROR(VLOOKUP(C182,キャラ!$A:$E,5,FALSE),""),0.5)&amp;"）")&amp;IF(IFERROR(VLOOKUP(D182,キャラ!$A:$E,4,FALSE),"")="",""," / "&amp;IFERROR(VLOOKUP(D182,キャラ!$A:$E,4,FALSE),"")&amp;"（0.5）")</f>
        <v/>
      </c>
      <c r="M182" s="3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4">
        <f>IF(AND(C183="",F183=""),"",_xlfn.TEXTJOIN(", ",TRUE,共通設定!$B$2,E183,IFERROR(VLOOKUP(C183,キャラ!$A:$E,2,FALSE),""),IFERROR(VLOOKUP(C183,キャラ!$A:$E,3,FALSE),""),IFERROR(VLOOKUP(D183,キャラ!$A:$E,2,FALSE),""),IFERROR(VLOOKUP(D183,キャラ!$A:$E,3,FALSE),""),F183,G183,H183,I183))</f>
        <v/>
      </c>
      <c r="K183" s="4">
        <f>IF(OR(A183="",B183=""),"",共通設定!$B$4&amp;"/"&amp;A183&amp;"_c"&amp;TEXT(B183,"00"))</f>
        <v/>
      </c>
      <c r="L183" s="4">
        <f>IF(IFERROR(VLOOKUP(C183,キャラ!$A:$E,4,FALSE),"")="","",IFERROR(VLOOKUP(C183,キャラ!$A:$E,4,FALSE),"")&amp;"（"&amp;IF(D183="",IFERROR(VLOOKUP(C183,キャラ!$A:$E,5,FALSE),""),0.5)&amp;"）")&amp;IF(IFERROR(VLOOKUP(D183,キャラ!$A:$E,4,FALSE),"")="",""," / "&amp;IFERROR(VLOOKUP(D183,キャラ!$A:$E,4,FALSE),"")&amp;"（0.5）")</f>
        <v/>
      </c>
      <c r="M183" s="3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4">
        <f>IF(AND(C184="",F184=""),"",_xlfn.TEXTJOIN(", ",TRUE,共通設定!$B$2,E184,IFERROR(VLOOKUP(C184,キャラ!$A:$E,2,FALSE),""),IFERROR(VLOOKUP(C184,キャラ!$A:$E,3,FALSE),""),IFERROR(VLOOKUP(D184,キャラ!$A:$E,2,FALSE),""),IFERROR(VLOOKUP(D184,キャラ!$A:$E,3,FALSE),""),F184,G184,H184,I184))</f>
        <v/>
      </c>
      <c r="K184" s="4">
        <f>IF(OR(A184="",B184=""),"",共通設定!$B$4&amp;"/"&amp;A184&amp;"_c"&amp;TEXT(B184,"00"))</f>
        <v/>
      </c>
      <c r="L184" s="4">
        <f>IF(IFERROR(VLOOKUP(C184,キャラ!$A:$E,4,FALSE),"")="","",IFERROR(VLOOKUP(C184,キャラ!$A:$E,4,FALSE),"")&amp;"（"&amp;IF(D184="",IFERROR(VLOOKUP(C184,キャラ!$A:$E,5,FALSE),""),0.5)&amp;"）")&amp;IF(IFERROR(VLOOKUP(D184,キャラ!$A:$E,4,FALSE),"")="",""," / "&amp;IFERROR(VLOOKUP(D184,キャラ!$A:$E,4,FALSE),"")&amp;"（0.5）")</f>
        <v/>
      </c>
      <c r="M184" s="3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4">
        <f>IF(AND(C185="",F185=""),"",_xlfn.TEXTJOIN(", ",TRUE,共通設定!$B$2,E185,IFERROR(VLOOKUP(C185,キャラ!$A:$E,2,FALSE),""),IFERROR(VLOOKUP(C185,キャラ!$A:$E,3,FALSE),""),IFERROR(VLOOKUP(D185,キャラ!$A:$E,2,FALSE),""),IFERROR(VLOOKUP(D185,キャラ!$A:$E,3,FALSE),""),F185,G185,H185,I185))</f>
        <v/>
      </c>
      <c r="K185" s="4">
        <f>IF(OR(A185="",B185=""),"",共通設定!$B$4&amp;"/"&amp;A185&amp;"_c"&amp;TEXT(B185,"00"))</f>
        <v/>
      </c>
      <c r="L185" s="4">
        <f>IF(IFERROR(VLOOKUP(C185,キャラ!$A:$E,4,FALSE),"")="","",IFERROR(VLOOKUP(C185,キャラ!$A:$E,4,FALSE),"")&amp;"（"&amp;IF(D185="",IFERROR(VLOOKUP(C185,キャラ!$A:$E,5,FALSE),""),0.5)&amp;"）")&amp;IF(IFERROR(VLOOKUP(D185,キャラ!$A:$E,4,FALSE),"")="",""," / "&amp;IFERROR(VLOOKUP(D185,キャラ!$A:$E,4,FALSE),"")&amp;"（0.5）")</f>
        <v/>
      </c>
      <c r="M185" s="3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4">
        <f>IF(AND(C186="",F186=""),"",_xlfn.TEXTJOIN(", ",TRUE,共通設定!$B$2,E186,IFERROR(VLOOKUP(C186,キャラ!$A:$E,2,FALSE),""),IFERROR(VLOOKUP(C186,キャラ!$A:$E,3,FALSE),""),IFERROR(VLOOKUP(D186,キャラ!$A:$E,2,FALSE),""),IFERROR(VLOOKUP(D186,キャラ!$A:$E,3,FALSE),""),F186,G186,H186,I186))</f>
        <v/>
      </c>
      <c r="K186" s="4">
        <f>IF(OR(A186="",B186=""),"",共通設定!$B$4&amp;"/"&amp;A186&amp;"_c"&amp;TEXT(B186,"00"))</f>
        <v/>
      </c>
      <c r="L186" s="4">
        <f>IF(IFERROR(VLOOKUP(C186,キャラ!$A:$E,4,FALSE),"")="","",IFERROR(VLOOKUP(C186,キャラ!$A:$E,4,FALSE),"")&amp;"（"&amp;IF(D186="",IFERROR(VLOOKUP(C186,キャラ!$A:$E,5,FALSE),""),0.5)&amp;"）")&amp;IF(IFERROR(VLOOKUP(D186,キャラ!$A:$E,4,FALSE),"")="",""," / "&amp;IFERROR(VLOOKUP(D186,キャラ!$A:$E,4,FALSE),"")&amp;"（0.5）")</f>
        <v/>
      </c>
      <c r="M186" s="3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4">
        <f>IF(AND(C187="",F187=""),"",_xlfn.TEXTJOIN(", ",TRUE,共通設定!$B$2,E187,IFERROR(VLOOKUP(C187,キャラ!$A:$E,2,FALSE),""),IFERROR(VLOOKUP(C187,キャラ!$A:$E,3,FALSE),""),IFERROR(VLOOKUP(D187,キャラ!$A:$E,2,FALSE),""),IFERROR(VLOOKUP(D187,キャラ!$A:$E,3,FALSE),""),F187,G187,H187,I187))</f>
        <v/>
      </c>
      <c r="K187" s="4">
        <f>IF(OR(A187="",B187=""),"",共通設定!$B$4&amp;"/"&amp;A187&amp;"_c"&amp;TEXT(B187,"00"))</f>
        <v/>
      </c>
      <c r="L187" s="4">
        <f>IF(IFERROR(VLOOKUP(C187,キャラ!$A:$E,4,FALSE),"")="","",IFERROR(VLOOKUP(C187,キャラ!$A:$E,4,FALSE),"")&amp;"（"&amp;IF(D187="",IFERROR(VLOOKUP(C187,キャラ!$A:$E,5,FALSE),""),0.5)&amp;"）")&amp;IF(IFERROR(VLOOKUP(D187,キャラ!$A:$E,4,FALSE),"")="",""," / "&amp;IFERROR(VLOOKUP(D187,キャラ!$A:$E,4,FALSE),"")&amp;"（0.5）")</f>
        <v/>
      </c>
      <c r="M187" s="3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4">
        <f>IF(AND(C188="",F188=""),"",_xlfn.TEXTJOIN(", ",TRUE,共通設定!$B$2,E188,IFERROR(VLOOKUP(C188,キャラ!$A:$E,2,FALSE),""),IFERROR(VLOOKUP(C188,キャラ!$A:$E,3,FALSE),""),IFERROR(VLOOKUP(D188,キャラ!$A:$E,2,FALSE),""),IFERROR(VLOOKUP(D188,キャラ!$A:$E,3,FALSE),""),F188,G188,H188,I188))</f>
        <v/>
      </c>
      <c r="K188" s="4">
        <f>IF(OR(A188="",B188=""),"",共通設定!$B$4&amp;"/"&amp;A188&amp;"_c"&amp;TEXT(B188,"00"))</f>
        <v/>
      </c>
      <c r="L188" s="4">
        <f>IF(IFERROR(VLOOKUP(C188,キャラ!$A:$E,4,FALSE),"")="","",IFERROR(VLOOKUP(C188,キャラ!$A:$E,4,FALSE),"")&amp;"（"&amp;IF(D188="",IFERROR(VLOOKUP(C188,キャラ!$A:$E,5,FALSE),""),0.5)&amp;"）")&amp;IF(IFERROR(VLOOKUP(D188,キャラ!$A:$E,4,FALSE),"")="",""," / "&amp;IFERROR(VLOOKUP(D188,キャラ!$A:$E,4,FALSE),"")&amp;"（0.5）")</f>
        <v/>
      </c>
      <c r="M188" s="3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4">
        <f>IF(AND(C189="",F189=""),"",_xlfn.TEXTJOIN(", ",TRUE,共通設定!$B$2,E189,IFERROR(VLOOKUP(C189,キャラ!$A:$E,2,FALSE),""),IFERROR(VLOOKUP(C189,キャラ!$A:$E,3,FALSE),""),IFERROR(VLOOKUP(D189,キャラ!$A:$E,2,FALSE),""),IFERROR(VLOOKUP(D189,キャラ!$A:$E,3,FALSE),""),F189,G189,H189,I189))</f>
        <v/>
      </c>
      <c r="K189" s="4">
        <f>IF(OR(A189="",B189=""),"",共通設定!$B$4&amp;"/"&amp;A189&amp;"_c"&amp;TEXT(B189,"00"))</f>
        <v/>
      </c>
      <c r="L189" s="4">
        <f>IF(IFERROR(VLOOKUP(C189,キャラ!$A:$E,4,FALSE),"")="","",IFERROR(VLOOKUP(C189,キャラ!$A:$E,4,FALSE),"")&amp;"（"&amp;IF(D189="",IFERROR(VLOOKUP(C189,キャラ!$A:$E,5,FALSE),""),0.5)&amp;"）")&amp;IF(IFERROR(VLOOKUP(D189,キャラ!$A:$E,4,FALSE),"")="",""," / "&amp;IFERROR(VLOOKUP(D189,キャラ!$A:$E,4,FALSE),"")&amp;"（0.5）")</f>
        <v/>
      </c>
      <c r="M189" s="3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4">
        <f>IF(AND(C190="",F190=""),"",_xlfn.TEXTJOIN(", ",TRUE,共通設定!$B$2,E190,IFERROR(VLOOKUP(C190,キャラ!$A:$E,2,FALSE),""),IFERROR(VLOOKUP(C190,キャラ!$A:$E,3,FALSE),""),IFERROR(VLOOKUP(D190,キャラ!$A:$E,2,FALSE),""),IFERROR(VLOOKUP(D190,キャラ!$A:$E,3,FALSE),""),F190,G190,H190,I190))</f>
        <v/>
      </c>
      <c r="K190" s="4">
        <f>IF(OR(A190="",B190=""),"",共通設定!$B$4&amp;"/"&amp;A190&amp;"_c"&amp;TEXT(B190,"00"))</f>
        <v/>
      </c>
      <c r="L190" s="4">
        <f>IF(IFERROR(VLOOKUP(C190,キャラ!$A:$E,4,FALSE),"")="","",IFERROR(VLOOKUP(C190,キャラ!$A:$E,4,FALSE),"")&amp;"（"&amp;IF(D190="",IFERROR(VLOOKUP(C190,キャラ!$A:$E,5,FALSE),""),0.5)&amp;"）")&amp;IF(IFERROR(VLOOKUP(D190,キャラ!$A:$E,4,FALSE),"")="",""," / "&amp;IFERROR(VLOOKUP(D190,キャラ!$A:$E,4,FALSE),"")&amp;"（0.5）")</f>
        <v/>
      </c>
      <c r="M190" s="3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4">
        <f>IF(AND(C191="",F191=""),"",_xlfn.TEXTJOIN(", ",TRUE,共通設定!$B$2,E191,IFERROR(VLOOKUP(C191,キャラ!$A:$E,2,FALSE),""),IFERROR(VLOOKUP(C191,キャラ!$A:$E,3,FALSE),""),IFERROR(VLOOKUP(D191,キャラ!$A:$E,2,FALSE),""),IFERROR(VLOOKUP(D191,キャラ!$A:$E,3,FALSE),""),F191,G191,H191,I191))</f>
        <v/>
      </c>
      <c r="K191" s="4">
        <f>IF(OR(A191="",B191=""),"",共通設定!$B$4&amp;"/"&amp;A191&amp;"_c"&amp;TEXT(B191,"00"))</f>
        <v/>
      </c>
      <c r="L191" s="4">
        <f>IF(IFERROR(VLOOKUP(C191,キャラ!$A:$E,4,FALSE),"")="","",IFERROR(VLOOKUP(C191,キャラ!$A:$E,4,FALSE),"")&amp;"（"&amp;IF(D191="",IFERROR(VLOOKUP(C191,キャラ!$A:$E,5,FALSE),""),0.5)&amp;"）")&amp;IF(IFERROR(VLOOKUP(D191,キャラ!$A:$E,4,FALSE),"")="",""," / "&amp;IFERROR(VLOOKUP(D191,キャラ!$A:$E,4,FALSE),"")&amp;"（0.5）")</f>
        <v/>
      </c>
      <c r="M191" s="3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4">
        <f>IF(AND(C192="",F192=""),"",_xlfn.TEXTJOIN(", ",TRUE,共通設定!$B$2,E192,IFERROR(VLOOKUP(C192,キャラ!$A:$E,2,FALSE),""),IFERROR(VLOOKUP(C192,キャラ!$A:$E,3,FALSE),""),IFERROR(VLOOKUP(D192,キャラ!$A:$E,2,FALSE),""),IFERROR(VLOOKUP(D192,キャラ!$A:$E,3,FALSE),""),F192,G192,H192,I192))</f>
        <v/>
      </c>
      <c r="K192" s="4">
        <f>IF(OR(A192="",B192=""),"",共通設定!$B$4&amp;"/"&amp;A192&amp;"_c"&amp;TEXT(B192,"00"))</f>
        <v/>
      </c>
      <c r="L192" s="4">
        <f>IF(IFERROR(VLOOKUP(C192,キャラ!$A:$E,4,FALSE),"")="","",IFERROR(VLOOKUP(C192,キャラ!$A:$E,4,FALSE),"")&amp;"（"&amp;IF(D192="",IFERROR(VLOOKUP(C192,キャラ!$A:$E,5,FALSE),""),0.5)&amp;"）")&amp;IF(IFERROR(VLOOKUP(D192,キャラ!$A:$E,4,FALSE),"")="",""," / "&amp;IFERROR(VLOOKUP(D192,キャラ!$A:$E,4,FALSE),"")&amp;"（0.5）")</f>
        <v/>
      </c>
      <c r="M192" s="3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4">
        <f>IF(AND(C193="",F193=""),"",_xlfn.TEXTJOIN(", ",TRUE,共通設定!$B$2,E193,IFERROR(VLOOKUP(C193,キャラ!$A:$E,2,FALSE),""),IFERROR(VLOOKUP(C193,キャラ!$A:$E,3,FALSE),""),IFERROR(VLOOKUP(D193,キャラ!$A:$E,2,FALSE),""),IFERROR(VLOOKUP(D193,キャラ!$A:$E,3,FALSE),""),F193,G193,H193,I193))</f>
        <v/>
      </c>
      <c r="K193" s="4">
        <f>IF(OR(A193="",B193=""),"",共通設定!$B$4&amp;"/"&amp;A193&amp;"_c"&amp;TEXT(B193,"00"))</f>
        <v/>
      </c>
      <c r="L193" s="4">
        <f>IF(IFERROR(VLOOKUP(C193,キャラ!$A:$E,4,FALSE),"")="","",IFERROR(VLOOKUP(C193,キャラ!$A:$E,4,FALSE),"")&amp;"（"&amp;IF(D193="",IFERROR(VLOOKUP(C193,キャラ!$A:$E,5,FALSE),""),0.5)&amp;"）")&amp;IF(IFERROR(VLOOKUP(D193,キャラ!$A:$E,4,FALSE),"")="",""," / "&amp;IFERROR(VLOOKUP(D193,キャラ!$A:$E,4,FALSE),"")&amp;"（0.5）")</f>
        <v/>
      </c>
      <c r="M193" s="3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4">
        <f>IF(AND(C194="",F194=""),"",_xlfn.TEXTJOIN(", ",TRUE,共通設定!$B$2,E194,IFERROR(VLOOKUP(C194,キャラ!$A:$E,2,FALSE),""),IFERROR(VLOOKUP(C194,キャラ!$A:$E,3,FALSE),""),IFERROR(VLOOKUP(D194,キャラ!$A:$E,2,FALSE),""),IFERROR(VLOOKUP(D194,キャラ!$A:$E,3,FALSE),""),F194,G194,H194,I194))</f>
        <v/>
      </c>
      <c r="K194" s="4">
        <f>IF(OR(A194="",B194=""),"",共通設定!$B$4&amp;"/"&amp;A194&amp;"_c"&amp;TEXT(B194,"00"))</f>
        <v/>
      </c>
      <c r="L194" s="4">
        <f>IF(IFERROR(VLOOKUP(C194,キャラ!$A:$E,4,FALSE),"")="","",IFERROR(VLOOKUP(C194,キャラ!$A:$E,4,FALSE),"")&amp;"（"&amp;IF(D194="",IFERROR(VLOOKUP(C194,キャラ!$A:$E,5,FALSE),""),0.5)&amp;"）")&amp;IF(IFERROR(VLOOKUP(D194,キャラ!$A:$E,4,FALSE),"")="",""," / "&amp;IFERROR(VLOOKUP(D194,キャラ!$A:$E,4,FALSE),"")&amp;"（0.5）")</f>
        <v/>
      </c>
      <c r="M194" s="3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4">
        <f>IF(AND(C195="",F195=""),"",_xlfn.TEXTJOIN(", ",TRUE,共通設定!$B$2,E195,IFERROR(VLOOKUP(C195,キャラ!$A:$E,2,FALSE),""),IFERROR(VLOOKUP(C195,キャラ!$A:$E,3,FALSE),""),IFERROR(VLOOKUP(D195,キャラ!$A:$E,2,FALSE),""),IFERROR(VLOOKUP(D195,キャラ!$A:$E,3,FALSE),""),F195,G195,H195,I195))</f>
        <v/>
      </c>
      <c r="K195" s="4">
        <f>IF(OR(A195="",B195=""),"",共通設定!$B$4&amp;"/"&amp;A195&amp;"_c"&amp;TEXT(B195,"00"))</f>
        <v/>
      </c>
      <c r="L195" s="4">
        <f>IF(IFERROR(VLOOKUP(C195,キャラ!$A:$E,4,FALSE),"")="","",IFERROR(VLOOKUP(C195,キャラ!$A:$E,4,FALSE),"")&amp;"（"&amp;IF(D195="",IFERROR(VLOOKUP(C195,キャラ!$A:$E,5,FALSE),""),0.5)&amp;"）")&amp;IF(IFERROR(VLOOKUP(D195,キャラ!$A:$E,4,FALSE),"")="",""," / "&amp;IFERROR(VLOOKUP(D195,キャラ!$A:$E,4,FALSE),"")&amp;"（0.5）")</f>
        <v/>
      </c>
      <c r="M195" s="3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4">
        <f>IF(AND(C196="",F196=""),"",_xlfn.TEXTJOIN(", ",TRUE,共通設定!$B$2,E196,IFERROR(VLOOKUP(C196,キャラ!$A:$E,2,FALSE),""),IFERROR(VLOOKUP(C196,キャラ!$A:$E,3,FALSE),""),IFERROR(VLOOKUP(D196,キャラ!$A:$E,2,FALSE),""),IFERROR(VLOOKUP(D196,キャラ!$A:$E,3,FALSE),""),F196,G196,H196,I196))</f>
        <v/>
      </c>
      <c r="K196" s="4">
        <f>IF(OR(A196="",B196=""),"",共通設定!$B$4&amp;"/"&amp;A196&amp;"_c"&amp;TEXT(B196,"00"))</f>
        <v/>
      </c>
      <c r="L196" s="4">
        <f>IF(IFERROR(VLOOKUP(C196,キャラ!$A:$E,4,FALSE),"")="","",IFERROR(VLOOKUP(C196,キャラ!$A:$E,4,FALSE),"")&amp;"（"&amp;IF(D196="",IFERROR(VLOOKUP(C196,キャラ!$A:$E,5,FALSE),""),0.5)&amp;"）")&amp;IF(IFERROR(VLOOKUP(D196,キャラ!$A:$E,4,FALSE),"")="",""," / "&amp;IFERROR(VLOOKUP(D196,キャラ!$A:$E,4,FALSE),"")&amp;"（0.5）")</f>
        <v/>
      </c>
      <c r="M196" s="3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4">
        <f>IF(AND(C197="",F197=""),"",_xlfn.TEXTJOIN(", ",TRUE,共通設定!$B$2,E197,IFERROR(VLOOKUP(C197,キャラ!$A:$E,2,FALSE),""),IFERROR(VLOOKUP(C197,キャラ!$A:$E,3,FALSE),""),IFERROR(VLOOKUP(D197,キャラ!$A:$E,2,FALSE),""),IFERROR(VLOOKUP(D197,キャラ!$A:$E,3,FALSE),""),F197,G197,H197,I197))</f>
        <v/>
      </c>
      <c r="K197" s="4">
        <f>IF(OR(A197="",B197=""),"",共通設定!$B$4&amp;"/"&amp;A197&amp;"_c"&amp;TEXT(B197,"00"))</f>
        <v/>
      </c>
      <c r="L197" s="4">
        <f>IF(IFERROR(VLOOKUP(C197,キャラ!$A:$E,4,FALSE),"")="","",IFERROR(VLOOKUP(C197,キャラ!$A:$E,4,FALSE),"")&amp;"（"&amp;IF(D197="",IFERROR(VLOOKUP(C197,キャラ!$A:$E,5,FALSE),""),0.5)&amp;"）")&amp;IF(IFERROR(VLOOKUP(D197,キャラ!$A:$E,4,FALSE),"")="",""," / "&amp;IFERROR(VLOOKUP(D197,キャラ!$A:$E,4,FALSE),"")&amp;"（0.5）")</f>
        <v/>
      </c>
      <c r="M197" s="3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4">
        <f>IF(AND(C198="",F198=""),"",_xlfn.TEXTJOIN(", ",TRUE,共通設定!$B$2,E198,IFERROR(VLOOKUP(C198,キャラ!$A:$E,2,FALSE),""),IFERROR(VLOOKUP(C198,キャラ!$A:$E,3,FALSE),""),IFERROR(VLOOKUP(D198,キャラ!$A:$E,2,FALSE),""),IFERROR(VLOOKUP(D198,キャラ!$A:$E,3,FALSE),""),F198,G198,H198,I198))</f>
        <v/>
      </c>
      <c r="K198" s="4">
        <f>IF(OR(A198="",B198=""),"",共通設定!$B$4&amp;"/"&amp;A198&amp;"_c"&amp;TEXT(B198,"00"))</f>
        <v/>
      </c>
      <c r="L198" s="4">
        <f>IF(IFERROR(VLOOKUP(C198,キャラ!$A:$E,4,FALSE),"")="","",IFERROR(VLOOKUP(C198,キャラ!$A:$E,4,FALSE),"")&amp;"（"&amp;IF(D198="",IFERROR(VLOOKUP(C198,キャラ!$A:$E,5,FALSE),""),0.5)&amp;"）")&amp;IF(IFERROR(VLOOKUP(D198,キャラ!$A:$E,4,FALSE),"")="",""," / "&amp;IFERROR(VLOOKUP(D198,キャラ!$A:$E,4,FALSE),"")&amp;"（0.5）")</f>
        <v/>
      </c>
      <c r="M198" s="3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4">
        <f>IF(AND(C199="",F199=""),"",_xlfn.TEXTJOIN(", ",TRUE,共通設定!$B$2,E199,IFERROR(VLOOKUP(C199,キャラ!$A:$E,2,FALSE),""),IFERROR(VLOOKUP(C199,キャラ!$A:$E,3,FALSE),""),IFERROR(VLOOKUP(D199,キャラ!$A:$E,2,FALSE),""),IFERROR(VLOOKUP(D199,キャラ!$A:$E,3,FALSE),""),F199,G199,H199,I199))</f>
        <v/>
      </c>
      <c r="K199" s="4">
        <f>IF(OR(A199="",B199=""),"",共通設定!$B$4&amp;"/"&amp;A199&amp;"_c"&amp;TEXT(B199,"00"))</f>
        <v/>
      </c>
      <c r="L199" s="4">
        <f>IF(IFERROR(VLOOKUP(C199,キャラ!$A:$E,4,FALSE),"")="","",IFERROR(VLOOKUP(C199,キャラ!$A:$E,4,FALSE),"")&amp;"（"&amp;IF(D199="",IFERROR(VLOOKUP(C199,キャラ!$A:$E,5,FALSE),""),0.5)&amp;"）")&amp;IF(IFERROR(VLOOKUP(D199,キャラ!$A:$E,4,FALSE),"")="",""," / "&amp;IFERROR(VLOOKUP(D199,キャラ!$A:$E,4,FALSE),"")&amp;"（0.5）")</f>
        <v/>
      </c>
      <c r="M199" s="3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4">
        <f>IF(AND(C200="",F200=""),"",_xlfn.TEXTJOIN(", ",TRUE,共通設定!$B$2,E200,IFERROR(VLOOKUP(C200,キャラ!$A:$E,2,FALSE),""),IFERROR(VLOOKUP(C200,キャラ!$A:$E,3,FALSE),""),IFERROR(VLOOKUP(D200,キャラ!$A:$E,2,FALSE),""),IFERROR(VLOOKUP(D200,キャラ!$A:$E,3,FALSE),""),F200,G200,H200,I200))</f>
        <v/>
      </c>
      <c r="K200" s="4">
        <f>IF(OR(A200="",B200=""),"",共通設定!$B$4&amp;"/"&amp;A200&amp;"_c"&amp;TEXT(B200,"00"))</f>
        <v/>
      </c>
      <c r="L200" s="4">
        <f>IF(IFERROR(VLOOKUP(C200,キャラ!$A:$E,4,FALSE),"")="","",IFERROR(VLOOKUP(C200,キャラ!$A:$E,4,FALSE),"")&amp;"（"&amp;IF(D200="",IFERROR(VLOOKUP(C200,キャラ!$A:$E,5,FALSE),""),0.5)&amp;"）")&amp;IF(IFERROR(VLOOKUP(D200,キャラ!$A:$E,4,FALSE),"")="",""," / "&amp;IFERROR(VLOOKUP(D200,キャラ!$A:$E,4,FALSE),"")&amp;"（0.5）")</f>
        <v/>
      </c>
      <c r="M200" s="3" t="n"/>
      <c r="N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4">
        <f>IF(AND(C201="",F201=""),"",_xlfn.TEXTJOIN(", ",TRUE,共通設定!$B$2,E201,IFERROR(VLOOKUP(C201,キャラ!$A:$E,2,FALSE),""),IFERROR(VLOOKUP(C201,キャラ!$A:$E,3,FALSE),""),IFERROR(VLOOKUP(D201,キャラ!$A:$E,2,FALSE),""),IFERROR(VLOOKUP(D201,キャラ!$A:$E,3,FALSE),""),F201,G201,H201,I201))</f>
        <v/>
      </c>
      <c r="K201" s="4">
        <f>IF(OR(A201="",B201=""),"",共通設定!$B$4&amp;"/"&amp;A201&amp;"_c"&amp;TEXT(B201,"00"))</f>
        <v/>
      </c>
      <c r="L201" s="4">
        <f>IF(IFERROR(VLOOKUP(C201,キャラ!$A:$E,4,FALSE),"")="","",IFERROR(VLOOKUP(C201,キャラ!$A:$E,4,FALSE),"")&amp;"（"&amp;IF(D201="",IFERROR(VLOOKUP(C201,キャラ!$A:$E,5,FALSE),""),0.5)&amp;"）")&amp;IF(IFERROR(VLOOKUP(D201,キャラ!$A:$E,4,FALSE),"")="",""," / "&amp;IFERROR(VLOOKUP(D201,キャラ!$A:$E,4,FALSE),"")&amp;"（0.5）")</f>
        <v/>
      </c>
      <c r="M201" s="3" t="n"/>
      <c r="N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4">
        <f>IF(AND(C202="",F202=""),"",_xlfn.TEXTJOIN(", ",TRUE,共通設定!$B$2,E202,IFERROR(VLOOKUP(C202,キャラ!$A:$E,2,FALSE),""),IFERROR(VLOOKUP(C202,キャラ!$A:$E,3,FALSE),""),IFERROR(VLOOKUP(D202,キャラ!$A:$E,2,FALSE),""),IFERROR(VLOOKUP(D202,キャラ!$A:$E,3,FALSE),""),F202,G202,H202,I202))</f>
        <v/>
      </c>
      <c r="K202" s="4">
        <f>IF(OR(A202="",B202=""),"",共通設定!$B$4&amp;"/"&amp;A202&amp;"_c"&amp;TEXT(B202,"00"))</f>
        <v/>
      </c>
      <c r="L202" s="4">
        <f>IF(IFERROR(VLOOKUP(C202,キャラ!$A:$E,4,FALSE),"")="","",IFERROR(VLOOKUP(C202,キャラ!$A:$E,4,FALSE),"")&amp;"（"&amp;IF(D202="",IFERROR(VLOOKUP(C202,キャラ!$A:$E,5,FALSE),""),0.5)&amp;"）")&amp;IF(IFERROR(VLOOKUP(D202,キャラ!$A:$E,4,FALSE),"")="",""," / "&amp;IFERROR(VLOOKUP(D202,キャラ!$A:$E,4,FALSE),"")&amp;"（0.5）")</f>
        <v/>
      </c>
      <c r="M202" s="3" t="n"/>
      <c r="N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4">
        <f>IF(AND(C203="",F203=""),"",_xlfn.TEXTJOIN(", ",TRUE,共通設定!$B$2,E203,IFERROR(VLOOKUP(C203,キャラ!$A:$E,2,FALSE),""),IFERROR(VLOOKUP(C203,キャラ!$A:$E,3,FALSE),""),IFERROR(VLOOKUP(D203,キャラ!$A:$E,2,FALSE),""),IFERROR(VLOOKUP(D203,キャラ!$A:$E,3,FALSE),""),F203,G203,H203,I203))</f>
        <v/>
      </c>
      <c r="K203" s="4">
        <f>IF(OR(A203="",B203=""),"",共通設定!$B$4&amp;"/"&amp;A203&amp;"_c"&amp;TEXT(B203,"00"))</f>
        <v/>
      </c>
      <c r="L203" s="4">
        <f>IF(IFERROR(VLOOKUP(C203,キャラ!$A:$E,4,FALSE),"")="","",IFERROR(VLOOKUP(C203,キャラ!$A:$E,4,FALSE),"")&amp;"（"&amp;IF(D203="",IFERROR(VLOOKUP(C203,キャラ!$A:$E,5,FALSE),""),0.5)&amp;"）")&amp;IF(IFERROR(VLOOKUP(D203,キャラ!$A:$E,4,FALSE),"")="",""," / "&amp;IFERROR(VLOOKUP(D203,キャラ!$A:$E,4,FALSE),"")&amp;"（0.5）")</f>
        <v/>
      </c>
      <c r="M203" s="3" t="n"/>
      <c r="N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4">
        <f>IF(AND(C204="",F204=""),"",_xlfn.TEXTJOIN(", ",TRUE,共通設定!$B$2,E204,IFERROR(VLOOKUP(C204,キャラ!$A:$E,2,FALSE),""),IFERROR(VLOOKUP(C204,キャラ!$A:$E,3,FALSE),""),IFERROR(VLOOKUP(D204,キャラ!$A:$E,2,FALSE),""),IFERROR(VLOOKUP(D204,キャラ!$A:$E,3,FALSE),""),F204,G204,H204,I204))</f>
        <v/>
      </c>
      <c r="K204" s="4">
        <f>IF(OR(A204="",B204=""),"",共通設定!$B$4&amp;"/"&amp;A204&amp;"_c"&amp;TEXT(B204,"00"))</f>
        <v/>
      </c>
      <c r="L204" s="4">
        <f>IF(IFERROR(VLOOKUP(C204,キャラ!$A:$E,4,FALSE),"")="","",IFERROR(VLOOKUP(C204,キャラ!$A:$E,4,FALSE),"")&amp;"（"&amp;IF(D204="",IFERROR(VLOOKUP(C204,キャラ!$A:$E,5,FALSE),""),0.5)&amp;"）")&amp;IF(IFERROR(VLOOKUP(D204,キャラ!$A:$E,4,FALSE),"")="",""," / "&amp;IFERROR(VLOOKUP(D204,キャラ!$A:$E,4,FALSE),"")&amp;"（0.5）")</f>
        <v/>
      </c>
      <c r="M204" s="3" t="n"/>
      <c r="N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4">
        <f>IF(AND(C205="",F205=""),"",_xlfn.TEXTJOIN(", ",TRUE,共通設定!$B$2,E205,IFERROR(VLOOKUP(C205,キャラ!$A:$E,2,FALSE),""),IFERROR(VLOOKUP(C205,キャラ!$A:$E,3,FALSE),""),IFERROR(VLOOKUP(D205,キャラ!$A:$E,2,FALSE),""),IFERROR(VLOOKUP(D205,キャラ!$A:$E,3,FALSE),""),F205,G205,H205,I205))</f>
        <v/>
      </c>
      <c r="K205" s="4">
        <f>IF(OR(A205="",B205=""),"",共通設定!$B$4&amp;"/"&amp;A205&amp;"_c"&amp;TEXT(B205,"00"))</f>
        <v/>
      </c>
      <c r="L205" s="4">
        <f>IF(IFERROR(VLOOKUP(C205,キャラ!$A:$E,4,FALSE),"")="","",IFERROR(VLOOKUP(C205,キャラ!$A:$E,4,FALSE),"")&amp;"（"&amp;IF(D205="",IFERROR(VLOOKUP(C205,キャラ!$A:$E,5,FALSE),""),0.5)&amp;"）")&amp;IF(IFERROR(VLOOKUP(D205,キャラ!$A:$E,4,FALSE),"")="",""," / "&amp;IFERROR(VLOOKUP(D205,キャラ!$A:$E,4,FALSE),"")&amp;"（0.5）")</f>
        <v/>
      </c>
      <c r="M205" s="3" t="n"/>
      <c r="N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4">
        <f>IF(AND(C206="",F206=""),"",_xlfn.TEXTJOIN(", ",TRUE,共通設定!$B$2,E206,IFERROR(VLOOKUP(C206,キャラ!$A:$E,2,FALSE),""),IFERROR(VLOOKUP(C206,キャラ!$A:$E,3,FALSE),""),IFERROR(VLOOKUP(D206,キャラ!$A:$E,2,FALSE),""),IFERROR(VLOOKUP(D206,キャラ!$A:$E,3,FALSE),""),F206,G206,H206,I206))</f>
        <v/>
      </c>
      <c r="K206" s="4">
        <f>IF(OR(A206="",B206=""),"",共通設定!$B$4&amp;"/"&amp;A206&amp;"_c"&amp;TEXT(B206,"00"))</f>
        <v/>
      </c>
      <c r="L206" s="4">
        <f>IF(IFERROR(VLOOKUP(C206,キャラ!$A:$E,4,FALSE),"")="","",IFERROR(VLOOKUP(C206,キャラ!$A:$E,4,FALSE),"")&amp;"（"&amp;IF(D206="",IFERROR(VLOOKUP(C206,キャラ!$A:$E,5,FALSE),""),0.5)&amp;"）")&amp;IF(IFERROR(VLOOKUP(D206,キャラ!$A:$E,4,FALSE),"")="",""," / "&amp;IFERROR(VLOOKUP(D206,キャラ!$A:$E,4,FALSE),"")&amp;"（0.5）")</f>
        <v/>
      </c>
      <c r="M206" s="3" t="n"/>
      <c r="N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4">
        <f>IF(AND(C207="",F207=""),"",_xlfn.TEXTJOIN(", ",TRUE,共通設定!$B$2,E207,IFERROR(VLOOKUP(C207,キャラ!$A:$E,2,FALSE),""),IFERROR(VLOOKUP(C207,キャラ!$A:$E,3,FALSE),""),IFERROR(VLOOKUP(D207,キャラ!$A:$E,2,FALSE),""),IFERROR(VLOOKUP(D207,キャラ!$A:$E,3,FALSE),""),F207,G207,H207,I207))</f>
        <v/>
      </c>
      <c r="K207" s="4">
        <f>IF(OR(A207="",B207=""),"",共通設定!$B$4&amp;"/"&amp;A207&amp;"_c"&amp;TEXT(B207,"00"))</f>
        <v/>
      </c>
      <c r="L207" s="4">
        <f>IF(IFERROR(VLOOKUP(C207,キャラ!$A:$E,4,FALSE),"")="","",IFERROR(VLOOKUP(C207,キャラ!$A:$E,4,FALSE),"")&amp;"（"&amp;IF(D207="",IFERROR(VLOOKUP(C207,キャラ!$A:$E,5,FALSE),""),0.5)&amp;"）")&amp;IF(IFERROR(VLOOKUP(D207,キャラ!$A:$E,4,FALSE),"")="",""," / "&amp;IFERROR(VLOOKUP(D207,キャラ!$A:$E,4,FALSE),"")&amp;"（0.5）")</f>
        <v/>
      </c>
      <c r="M207" s="3" t="n"/>
      <c r="N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4">
        <f>IF(AND(C208="",F208=""),"",_xlfn.TEXTJOIN(", ",TRUE,共通設定!$B$2,E208,IFERROR(VLOOKUP(C208,キャラ!$A:$E,2,FALSE),""),IFERROR(VLOOKUP(C208,キャラ!$A:$E,3,FALSE),""),IFERROR(VLOOKUP(D208,キャラ!$A:$E,2,FALSE),""),IFERROR(VLOOKUP(D208,キャラ!$A:$E,3,FALSE),""),F208,G208,H208,I208))</f>
        <v/>
      </c>
      <c r="K208" s="4">
        <f>IF(OR(A208="",B208=""),"",共通設定!$B$4&amp;"/"&amp;A208&amp;"_c"&amp;TEXT(B208,"00"))</f>
        <v/>
      </c>
      <c r="L208" s="4">
        <f>IF(IFERROR(VLOOKUP(C208,キャラ!$A:$E,4,FALSE),"")="","",IFERROR(VLOOKUP(C208,キャラ!$A:$E,4,FALSE),"")&amp;"（"&amp;IF(D208="",IFERROR(VLOOKUP(C208,キャラ!$A:$E,5,FALSE),""),0.5)&amp;"）")&amp;IF(IFERROR(VLOOKUP(D208,キャラ!$A:$E,4,FALSE),"")="",""," / "&amp;IFERROR(VLOOKUP(D208,キャラ!$A:$E,4,FALSE),"")&amp;"（0.5）")</f>
        <v/>
      </c>
      <c r="M208" s="3" t="n"/>
      <c r="N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4">
        <f>IF(AND(C209="",F209=""),"",_xlfn.TEXTJOIN(", ",TRUE,共通設定!$B$2,E209,IFERROR(VLOOKUP(C209,キャラ!$A:$E,2,FALSE),""),IFERROR(VLOOKUP(C209,キャラ!$A:$E,3,FALSE),""),IFERROR(VLOOKUP(D209,キャラ!$A:$E,2,FALSE),""),IFERROR(VLOOKUP(D209,キャラ!$A:$E,3,FALSE),""),F209,G209,H209,I209))</f>
        <v/>
      </c>
      <c r="K209" s="4">
        <f>IF(OR(A209="",B209=""),"",共通設定!$B$4&amp;"/"&amp;A209&amp;"_c"&amp;TEXT(B209,"00"))</f>
        <v/>
      </c>
      <c r="L209" s="4">
        <f>IF(IFERROR(VLOOKUP(C209,キャラ!$A:$E,4,FALSE),"")="","",IFERROR(VLOOKUP(C209,キャラ!$A:$E,4,FALSE),"")&amp;"（"&amp;IF(D209="",IFERROR(VLOOKUP(C209,キャラ!$A:$E,5,FALSE),""),0.5)&amp;"）")&amp;IF(IFERROR(VLOOKUP(D209,キャラ!$A:$E,4,FALSE),"")="",""," / "&amp;IFERROR(VLOOKUP(D209,キャラ!$A:$E,4,FALSE),"")&amp;"（0.5）")</f>
        <v/>
      </c>
      <c r="M209" s="3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4">
        <f>IF(AND(C210="",F210=""),"",_xlfn.TEXTJOIN(", ",TRUE,共通設定!$B$2,E210,IFERROR(VLOOKUP(C210,キャラ!$A:$E,2,FALSE),""),IFERROR(VLOOKUP(C210,キャラ!$A:$E,3,FALSE),""),IFERROR(VLOOKUP(D210,キャラ!$A:$E,2,FALSE),""),IFERROR(VLOOKUP(D210,キャラ!$A:$E,3,FALSE),""),F210,G210,H210,I210))</f>
        <v/>
      </c>
      <c r="K210" s="4">
        <f>IF(OR(A210="",B210=""),"",共通設定!$B$4&amp;"/"&amp;A210&amp;"_c"&amp;TEXT(B210,"00"))</f>
        <v/>
      </c>
      <c r="L210" s="4">
        <f>IF(IFERROR(VLOOKUP(C210,キャラ!$A:$E,4,FALSE),"")="","",IFERROR(VLOOKUP(C210,キャラ!$A:$E,4,FALSE),"")&amp;"（"&amp;IF(D210="",IFERROR(VLOOKUP(C210,キャラ!$A:$E,5,FALSE),""),0.5)&amp;"）")&amp;IF(IFERROR(VLOOKUP(D210,キャラ!$A:$E,4,FALSE),"")="",""," / "&amp;IFERROR(VLOOKUP(D210,キャラ!$A:$E,4,FALSE),"")&amp;"（0.5）")</f>
        <v/>
      </c>
      <c r="M210" s="3" t="n"/>
      <c r="N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4">
        <f>IF(AND(C211="",F211=""),"",_xlfn.TEXTJOIN(", ",TRUE,共通設定!$B$2,E211,IFERROR(VLOOKUP(C211,キャラ!$A:$E,2,FALSE),""),IFERROR(VLOOKUP(C211,キャラ!$A:$E,3,FALSE),""),IFERROR(VLOOKUP(D211,キャラ!$A:$E,2,FALSE),""),IFERROR(VLOOKUP(D211,キャラ!$A:$E,3,FALSE),""),F211,G211,H211,I211))</f>
        <v/>
      </c>
      <c r="K211" s="4">
        <f>IF(OR(A211="",B211=""),"",共通設定!$B$4&amp;"/"&amp;A211&amp;"_c"&amp;TEXT(B211,"00"))</f>
        <v/>
      </c>
      <c r="L211" s="4">
        <f>IF(IFERROR(VLOOKUP(C211,キャラ!$A:$E,4,FALSE),"")="","",IFERROR(VLOOKUP(C211,キャラ!$A:$E,4,FALSE),"")&amp;"（"&amp;IF(D211="",IFERROR(VLOOKUP(C211,キャラ!$A:$E,5,FALSE),""),0.5)&amp;"）")&amp;IF(IFERROR(VLOOKUP(D211,キャラ!$A:$E,4,FALSE),"")="",""," / "&amp;IFERROR(VLOOKUP(D211,キャラ!$A:$E,4,FALSE),"")&amp;"（0.5）")</f>
        <v/>
      </c>
      <c r="M211" s="3" t="n"/>
      <c r="N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4">
        <f>IF(AND(C212="",F212=""),"",_xlfn.TEXTJOIN(", ",TRUE,共通設定!$B$2,E212,IFERROR(VLOOKUP(C212,キャラ!$A:$E,2,FALSE),""),IFERROR(VLOOKUP(C212,キャラ!$A:$E,3,FALSE),""),IFERROR(VLOOKUP(D212,キャラ!$A:$E,2,FALSE),""),IFERROR(VLOOKUP(D212,キャラ!$A:$E,3,FALSE),""),F212,G212,H212,I212))</f>
        <v/>
      </c>
      <c r="K212" s="4">
        <f>IF(OR(A212="",B212=""),"",共通設定!$B$4&amp;"/"&amp;A212&amp;"_c"&amp;TEXT(B212,"00"))</f>
        <v/>
      </c>
      <c r="L212" s="4">
        <f>IF(IFERROR(VLOOKUP(C212,キャラ!$A:$E,4,FALSE),"")="","",IFERROR(VLOOKUP(C212,キャラ!$A:$E,4,FALSE),"")&amp;"（"&amp;IF(D212="",IFERROR(VLOOKUP(C212,キャラ!$A:$E,5,FALSE),""),0.5)&amp;"）")&amp;IF(IFERROR(VLOOKUP(D212,キャラ!$A:$E,4,FALSE),"")="",""," / "&amp;IFERROR(VLOOKUP(D212,キャラ!$A:$E,4,FALSE),"")&amp;"（0.5）")</f>
        <v/>
      </c>
      <c r="M212" s="3" t="n"/>
      <c r="N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4">
        <f>IF(AND(C213="",F213=""),"",_xlfn.TEXTJOIN(", ",TRUE,共通設定!$B$2,E213,IFERROR(VLOOKUP(C213,キャラ!$A:$E,2,FALSE),""),IFERROR(VLOOKUP(C213,キャラ!$A:$E,3,FALSE),""),IFERROR(VLOOKUP(D213,キャラ!$A:$E,2,FALSE),""),IFERROR(VLOOKUP(D213,キャラ!$A:$E,3,FALSE),""),F213,G213,H213,I213))</f>
        <v/>
      </c>
      <c r="K213" s="4">
        <f>IF(OR(A213="",B213=""),"",共通設定!$B$4&amp;"/"&amp;A213&amp;"_c"&amp;TEXT(B213,"00"))</f>
        <v/>
      </c>
      <c r="L213" s="4">
        <f>IF(IFERROR(VLOOKUP(C213,キャラ!$A:$E,4,FALSE),"")="","",IFERROR(VLOOKUP(C213,キャラ!$A:$E,4,FALSE),"")&amp;"（"&amp;IF(D213="",IFERROR(VLOOKUP(C213,キャラ!$A:$E,5,FALSE),""),0.5)&amp;"）")&amp;IF(IFERROR(VLOOKUP(D213,キャラ!$A:$E,4,FALSE),"")="",""," / "&amp;IFERROR(VLOOKUP(D213,キャラ!$A:$E,4,FALSE),"")&amp;"（0.5）")</f>
        <v/>
      </c>
      <c r="M213" s="3" t="n"/>
      <c r="N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4">
        <f>IF(AND(C214="",F214=""),"",_xlfn.TEXTJOIN(", ",TRUE,共通設定!$B$2,E214,IFERROR(VLOOKUP(C214,キャラ!$A:$E,2,FALSE),""),IFERROR(VLOOKUP(C214,キャラ!$A:$E,3,FALSE),""),IFERROR(VLOOKUP(D214,キャラ!$A:$E,2,FALSE),""),IFERROR(VLOOKUP(D214,キャラ!$A:$E,3,FALSE),""),F214,G214,H214,I214))</f>
        <v/>
      </c>
      <c r="K214" s="4">
        <f>IF(OR(A214="",B214=""),"",共通設定!$B$4&amp;"/"&amp;A214&amp;"_c"&amp;TEXT(B214,"00"))</f>
        <v/>
      </c>
      <c r="L214" s="4">
        <f>IF(IFERROR(VLOOKUP(C214,キャラ!$A:$E,4,FALSE),"")="","",IFERROR(VLOOKUP(C214,キャラ!$A:$E,4,FALSE),"")&amp;"（"&amp;IF(D214="",IFERROR(VLOOKUP(C214,キャラ!$A:$E,5,FALSE),""),0.5)&amp;"）")&amp;IF(IFERROR(VLOOKUP(D214,キャラ!$A:$E,4,FALSE),"")="",""," / "&amp;IFERROR(VLOOKUP(D214,キャラ!$A:$E,4,FALSE),"")&amp;"（0.5）")</f>
        <v/>
      </c>
      <c r="M214" s="3" t="n"/>
      <c r="N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4">
        <f>IF(AND(C215="",F215=""),"",_xlfn.TEXTJOIN(", ",TRUE,共通設定!$B$2,E215,IFERROR(VLOOKUP(C215,キャラ!$A:$E,2,FALSE),""),IFERROR(VLOOKUP(C215,キャラ!$A:$E,3,FALSE),""),IFERROR(VLOOKUP(D215,キャラ!$A:$E,2,FALSE),""),IFERROR(VLOOKUP(D215,キャラ!$A:$E,3,FALSE),""),F215,G215,H215,I215))</f>
        <v/>
      </c>
      <c r="K215" s="4">
        <f>IF(OR(A215="",B215=""),"",共通設定!$B$4&amp;"/"&amp;A215&amp;"_c"&amp;TEXT(B215,"00"))</f>
        <v/>
      </c>
      <c r="L215" s="4">
        <f>IF(IFERROR(VLOOKUP(C215,キャラ!$A:$E,4,FALSE),"")="","",IFERROR(VLOOKUP(C215,キャラ!$A:$E,4,FALSE),"")&amp;"（"&amp;IF(D215="",IFERROR(VLOOKUP(C215,キャラ!$A:$E,5,FALSE),""),0.5)&amp;"）")&amp;IF(IFERROR(VLOOKUP(D215,キャラ!$A:$E,4,FALSE),"")="",""," / "&amp;IFERROR(VLOOKUP(D215,キャラ!$A:$E,4,FALSE),"")&amp;"（0.5）")</f>
        <v/>
      </c>
      <c r="M215" s="3" t="n"/>
      <c r="N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4">
        <f>IF(AND(C216="",F216=""),"",_xlfn.TEXTJOIN(", ",TRUE,共通設定!$B$2,E216,IFERROR(VLOOKUP(C216,キャラ!$A:$E,2,FALSE),""),IFERROR(VLOOKUP(C216,キャラ!$A:$E,3,FALSE),""),IFERROR(VLOOKUP(D216,キャラ!$A:$E,2,FALSE),""),IFERROR(VLOOKUP(D216,キャラ!$A:$E,3,FALSE),""),F216,G216,H216,I216))</f>
        <v/>
      </c>
      <c r="K216" s="4">
        <f>IF(OR(A216="",B216=""),"",共通設定!$B$4&amp;"/"&amp;A216&amp;"_c"&amp;TEXT(B216,"00"))</f>
        <v/>
      </c>
      <c r="L216" s="4">
        <f>IF(IFERROR(VLOOKUP(C216,キャラ!$A:$E,4,FALSE),"")="","",IFERROR(VLOOKUP(C216,キャラ!$A:$E,4,FALSE),"")&amp;"（"&amp;IF(D216="",IFERROR(VLOOKUP(C216,キャラ!$A:$E,5,FALSE),""),0.5)&amp;"）")&amp;IF(IFERROR(VLOOKUP(D216,キャラ!$A:$E,4,FALSE),"")="",""," / "&amp;IFERROR(VLOOKUP(D216,キャラ!$A:$E,4,FALSE),"")&amp;"（0.5）")</f>
        <v/>
      </c>
      <c r="M216" s="3" t="n"/>
      <c r="N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4">
        <f>IF(AND(C217="",F217=""),"",_xlfn.TEXTJOIN(", ",TRUE,共通設定!$B$2,E217,IFERROR(VLOOKUP(C217,キャラ!$A:$E,2,FALSE),""),IFERROR(VLOOKUP(C217,キャラ!$A:$E,3,FALSE),""),IFERROR(VLOOKUP(D217,キャラ!$A:$E,2,FALSE),""),IFERROR(VLOOKUP(D217,キャラ!$A:$E,3,FALSE),""),F217,G217,H217,I217))</f>
        <v/>
      </c>
      <c r="K217" s="4">
        <f>IF(OR(A217="",B217=""),"",共通設定!$B$4&amp;"/"&amp;A217&amp;"_c"&amp;TEXT(B217,"00"))</f>
        <v/>
      </c>
      <c r="L217" s="4">
        <f>IF(IFERROR(VLOOKUP(C217,キャラ!$A:$E,4,FALSE),"")="","",IFERROR(VLOOKUP(C217,キャラ!$A:$E,4,FALSE),"")&amp;"（"&amp;IF(D217="",IFERROR(VLOOKUP(C217,キャラ!$A:$E,5,FALSE),""),0.5)&amp;"）")&amp;IF(IFERROR(VLOOKUP(D217,キャラ!$A:$E,4,FALSE),"")="",""," / "&amp;IFERROR(VLOOKUP(D217,キャラ!$A:$E,4,FALSE),"")&amp;"（0.5）")</f>
        <v/>
      </c>
      <c r="M217" s="3" t="n"/>
      <c r="N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4">
        <f>IF(AND(C218="",F218=""),"",_xlfn.TEXTJOIN(", ",TRUE,共通設定!$B$2,E218,IFERROR(VLOOKUP(C218,キャラ!$A:$E,2,FALSE),""),IFERROR(VLOOKUP(C218,キャラ!$A:$E,3,FALSE),""),IFERROR(VLOOKUP(D218,キャラ!$A:$E,2,FALSE),""),IFERROR(VLOOKUP(D218,キャラ!$A:$E,3,FALSE),""),F218,G218,H218,I218))</f>
        <v/>
      </c>
      <c r="K218" s="4">
        <f>IF(OR(A218="",B218=""),"",共通設定!$B$4&amp;"/"&amp;A218&amp;"_c"&amp;TEXT(B218,"00"))</f>
        <v/>
      </c>
      <c r="L218" s="4">
        <f>IF(IFERROR(VLOOKUP(C218,キャラ!$A:$E,4,FALSE),"")="","",IFERROR(VLOOKUP(C218,キャラ!$A:$E,4,FALSE),"")&amp;"（"&amp;IF(D218="",IFERROR(VLOOKUP(C218,キャラ!$A:$E,5,FALSE),""),0.5)&amp;"）")&amp;IF(IFERROR(VLOOKUP(D218,キャラ!$A:$E,4,FALSE),"")="",""," / "&amp;IFERROR(VLOOKUP(D218,キャラ!$A:$E,4,FALSE),"")&amp;"（0.5）")</f>
        <v/>
      </c>
      <c r="M218" s="3" t="n"/>
      <c r="N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4">
        <f>IF(AND(C219="",F219=""),"",_xlfn.TEXTJOIN(", ",TRUE,共通設定!$B$2,E219,IFERROR(VLOOKUP(C219,キャラ!$A:$E,2,FALSE),""),IFERROR(VLOOKUP(C219,キャラ!$A:$E,3,FALSE),""),IFERROR(VLOOKUP(D219,キャラ!$A:$E,2,FALSE),""),IFERROR(VLOOKUP(D219,キャラ!$A:$E,3,FALSE),""),F219,G219,H219,I219))</f>
        <v/>
      </c>
      <c r="K219" s="4">
        <f>IF(OR(A219="",B219=""),"",共通設定!$B$4&amp;"/"&amp;A219&amp;"_c"&amp;TEXT(B219,"00"))</f>
        <v/>
      </c>
      <c r="L219" s="4">
        <f>IF(IFERROR(VLOOKUP(C219,キャラ!$A:$E,4,FALSE),"")="","",IFERROR(VLOOKUP(C219,キャラ!$A:$E,4,FALSE),"")&amp;"（"&amp;IF(D219="",IFERROR(VLOOKUP(C219,キャラ!$A:$E,5,FALSE),""),0.5)&amp;"）")&amp;IF(IFERROR(VLOOKUP(D219,キャラ!$A:$E,4,FALSE),"")="",""," / "&amp;IFERROR(VLOOKUP(D219,キャラ!$A:$E,4,FALSE),"")&amp;"（0.5）")</f>
        <v/>
      </c>
      <c r="M219" s="3" t="n"/>
      <c r="N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4">
        <f>IF(AND(C220="",F220=""),"",_xlfn.TEXTJOIN(", ",TRUE,共通設定!$B$2,E220,IFERROR(VLOOKUP(C220,キャラ!$A:$E,2,FALSE),""),IFERROR(VLOOKUP(C220,キャラ!$A:$E,3,FALSE),""),IFERROR(VLOOKUP(D220,キャラ!$A:$E,2,FALSE),""),IFERROR(VLOOKUP(D220,キャラ!$A:$E,3,FALSE),""),F220,G220,H220,I220))</f>
        <v/>
      </c>
      <c r="K220" s="4">
        <f>IF(OR(A220="",B220=""),"",共通設定!$B$4&amp;"/"&amp;A220&amp;"_c"&amp;TEXT(B220,"00"))</f>
        <v/>
      </c>
      <c r="L220" s="4">
        <f>IF(IFERROR(VLOOKUP(C220,キャラ!$A:$E,4,FALSE),"")="","",IFERROR(VLOOKUP(C220,キャラ!$A:$E,4,FALSE),"")&amp;"（"&amp;IF(D220="",IFERROR(VLOOKUP(C220,キャラ!$A:$E,5,FALSE),""),0.5)&amp;"）")&amp;IF(IFERROR(VLOOKUP(D220,キャラ!$A:$E,4,FALSE),"")="",""," / "&amp;IFERROR(VLOOKUP(D220,キャラ!$A:$E,4,FALSE),"")&amp;"（0.5）")</f>
        <v/>
      </c>
      <c r="M220" s="3" t="n"/>
      <c r="N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4">
        <f>IF(AND(C221="",F221=""),"",_xlfn.TEXTJOIN(", ",TRUE,共通設定!$B$2,E221,IFERROR(VLOOKUP(C221,キャラ!$A:$E,2,FALSE),""),IFERROR(VLOOKUP(C221,キャラ!$A:$E,3,FALSE),""),IFERROR(VLOOKUP(D221,キャラ!$A:$E,2,FALSE),""),IFERROR(VLOOKUP(D221,キャラ!$A:$E,3,FALSE),""),F221,G221,H221,I221))</f>
        <v/>
      </c>
      <c r="K221" s="4">
        <f>IF(OR(A221="",B221=""),"",共通設定!$B$4&amp;"/"&amp;A221&amp;"_c"&amp;TEXT(B221,"00"))</f>
        <v/>
      </c>
      <c r="L221" s="4">
        <f>IF(IFERROR(VLOOKUP(C221,キャラ!$A:$E,4,FALSE),"")="","",IFERROR(VLOOKUP(C221,キャラ!$A:$E,4,FALSE),"")&amp;"（"&amp;IF(D221="",IFERROR(VLOOKUP(C221,キャラ!$A:$E,5,FALSE),""),0.5)&amp;"）")&amp;IF(IFERROR(VLOOKUP(D221,キャラ!$A:$E,4,FALSE),"")="",""," / "&amp;IFERROR(VLOOKUP(D221,キャラ!$A:$E,4,FALSE),"")&amp;"（0.5）")</f>
        <v/>
      </c>
      <c r="M221" s="3" t="n"/>
      <c r="N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4">
        <f>IF(AND(C222="",F222=""),"",_xlfn.TEXTJOIN(", ",TRUE,共通設定!$B$2,E222,IFERROR(VLOOKUP(C222,キャラ!$A:$E,2,FALSE),""),IFERROR(VLOOKUP(C222,キャラ!$A:$E,3,FALSE),""),IFERROR(VLOOKUP(D222,キャラ!$A:$E,2,FALSE),""),IFERROR(VLOOKUP(D222,キャラ!$A:$E,3,FALSE),""),F222,G222,H222,I222))</f>
        <v/>
      </c>
      <c r="K222" s="4">
        <f>IF(OR(A222="",B222=""),"",共通設定!$B$4&amp;"/"&amp;A222&amp;"_c"&amp;TEXT(B222,"00"))</f>
        <v/>
      </c>
      <c r="L222" s="4">
        <f>IF(IFERROR(VLOOKUP(C222,キャラ!$A:$E,4,FALSE),"")="","",IFERROR(VLOOKUP(C222,キャラ!$A:$E,4,FALSE),"")&amp;"（"&amp;IF(D222="",IFERROR(VLOOKUP(C222,キャラ!$A:$E,5,FALSE),""),0.5)&amp;"）")&amp;IF(IFERROR(VLOOKUP(D222,キャラ!$A:$E,4,FALSE),"")="",""," / "&amp;IFERROR(VLOOKUP(D222,キャラ!$A:$E,4,FALSE),"")&amp;"（0.5）")</f>
        <v/>
      </c>
      <c r="M222" s="3" t="n"/>
      <c r="N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4">
        <f>IF(AND(C223="",F223=""),"",_xlfn.TEXTJOIN(", ",TRUE,共通設定!$B$2,E223,IFERROR(VLOOKUP(C223,キャラ!$A:$E,2,FALSE),""),IFERROR(VLOOKUP(C223,キャラ!$A:$E,3,FALSE),""),IFERROR(VLOOKUP(D223,キャラ!$A:$E,2,FALSE),""),IFERROR(VLOOKUP(D223,キャラ!$A:$E,3,FALSE),""),F223,G223,H223,I223))</f>
        <v/>
      </c>
      <c r="K223" s="4">
        <f>IF(OR(A223="",B223=""),"",共通設定!$B$4&amp;"/"&amp;A223&amp;"_c"&amp;TEXT(B223,"00"))</f>
        <v/>
      </c>
      <c r="L223" s="4">
        <f>IF(IFERROR(VLOOKUP(C223,キャラ!$A:$E,4,FALSE),"")="","",IFERROR(VLOOKUP(C223,キャラ!$A:$E,4,FALSE),"")&amp;"（"&amp;IF(D223="",IFERROR(VLOOKUP(C223,キャラ!$A:$E,5,FALSE),""),0.5)&amp;"）")&amp;IF(IFERROR(VLOOKUP(D223,キャラ!$A:$E,4,FALSE),"")="",""," / "&amp;IFERROR(VLOOKUP(D223,キャラ!$A:$E,4,FALSE),"")&amp;"（0.5）")</f>
        <v/>
      </c>
      <c r="M223" s="3" t="n"/>
      <c r="N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4">
        <f>IF(AND(C224="",F224=""),"",_xlfn.TEXTJOIN(", ",TRUE,共通設定!$B$2,E224,IFERROR(VLOOKUP(C224,キャラ!$A:$E,2,FALSE),""),IFERROR(VLOOKUP(C224,キャラ!$A:$E,3,FALSE),""),IFERROR(VLOOKUP(D224,キャラ!$A:$E,2,FALSE),""),IFERROR(VLOOKUP(D224,キャラ!$A:$E,3,FALSE),""),F224,G224,H224,I224))</f>
        <v/>
      </c>
      <c r="K224" s="4">
        <f>IF(OR(A224="",B224=""),"",共通設定!$B$4&amp;"/"&amp;A224&amp;"_c"&amp;TEXT(B224,"00"))</f>
        <v/>
      </c>
      <c r="L224" s="4">
        <f>IF(IFERROR(VLOOKUP(C224,キャラ!$A:$E,4,FALSE),"")="","",IFERROR(VLOOKUP(C224,キャラ!$A:$E,4,FALSE),"")&amp;"（"&amp;IF(D224="",IFERROR(VLOOKUP(C224,キャラ!$A:$E,5,FALSE),""),0.5)&amp;"）")&amp;IF(IFERROR(VLOOKUP(D224,キャラ!$A:$E,4,FALSE),"")="",""," / "&amp;IFERROR(VLOOKUP(D224,キャラ!$A:$E,4,FALSE),"")&amp;"（0.5）")</f>
        <v/>
      </c>
      <c r="M224" s="3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4">
        <f>IF(AND(C225="",F225=""),"",_xlfn.TEXTJOIN(", ",TRUE,共通設定!$B$2,E225,IFERROR(VLOOKUP(C225,キャラ!$A:$E,2,FALSE),""),IFERROR(VLOOKUP(C225,キャラ!$A:$E,3,FALSE),""),IFERROR(VLOOKUP(D225,キャラ!$A:$E,2,FALSE),""),IFERROR(VLOOKUP(D225,キャラ!$A:$E,3,FALSE),""),F225,G225,H225,I225))</f>
        <v/>
      </c>
      <c r="K225" s="4">
        <f>IF(OR(A225="",B225=""),"",共通設定!$B$4&amp;"/"&amp;A225&amp;"_c"&amp;TEXT(B225,"00"))</f>
        <v/>
      </c>
      <c r="L225" s="4">
        <f>IF(IFERROR(VLOOKUP(C225,キャラ!$A:$E,4,FALSE),"")="","",IFERROR(VLOOKUP(C225,キャラ!$A:$E,4,FALSE),"")&amp;"（"&amp;IF(D225="",IFERROR(VLOOKUP(C225,キャラ!$A:$E,5,FALSE),""),0.5)&amp;"）")&amp;IF(IFERROR(VLOOKUP(D225,キャラ!$A:$E,4,FALSE),"")="",""," / "&amp;IFERROR(VLOOKUP(D225,キャラ!$A:$E,4,FALSE),"")&amp;"（0.5）")</f>
        <v/>
      </c>
      <c r="M225" s="3" t="n"/>
      <c r="N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4">
        <f>IF(AND(C226="",F226=""),"",_xlfn.TEXTJOIN(", ",TRUE,共通設定!$B$2,E226,IFERROR(VLOOKUP(C226,キャラ!$A:$E,2,FALSE),""),IFERROR(VLOOKUP(C226,キャラ!$A:$E,3,FALSE),""),IFERROR(VLOOKUP(D226,キャラ!$A:$E,2,FALSE),""),IFERROR(VLOOKUP(D226,キャラ!$A:$E,3,FALSE),""),F226,G226,H226,I226))</f>
        <v/>
      </c>
      <c r="K226" s="4">
        <f>IF(OR(A226="",B226=""),"",共通設定!$B$4&amp;"/"&amp;A226&amp;"_c"&amp;TEXT(B226,"00"))</f>
        <v/>
      </c>
      <c r="L226" s="4">
        <f>IF(IFERROR(VLOOKUP(C226,キャラ!$A:$E,4,FALSE),"")="","",IFERROR(VLOOKUP(C226,キャラ!$A:$E,4,FALSE),"")&amp;"（"&amp;IF(D226="",IFERROR(VLOOKUP(C226,キャラ!$A:$E,5,FALSE),""),0.5)&amp;"）")&amp;IF(IFERROR(VLOOKUP(D226,キャラ!$A:$E,4,FALSE),"")="",""," / "&amp;IFERROR(VLOOKUP(D226,キャラ!$A:$E,4,FALSE),"")&amp;"（0.5）")</f>
        <v/>
      </c>
      <c r="M226" s="3" t="n"/>
      <c r="N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4">
        <f>IF(AND(C227="",F227=""),"",_xlfn.TEXTJOIN(", ",TRUE,共通設定!$B$2,E227,IFERROR(VLOOKUP(C227,キャラ!$A:$E,2,FALSE),""),IFERROR(VLOOKUP(C227,キャラ!$A:$E,3,FALSE),""),IFERROR(VLOOKUP(D227,キャラ!$A:$E,2,FALSE),""),IFERROR(VLOOKUP(D227,キャラ!$A:$E,3,FALSE),""),F227,G227,H227,I227))</f>
        <v/>
      </c>
      <c r="K227" s="4">
        <f>IF(OR(A227="",B227=""),"",共通設定!$B$4&amp;"/"&amp;A227&amp;"_c"&amp;TEXT(B227,"00"))</f>
        <v/>
      </c>
      <c r="L227" s="4">
        <f>IF(IFERROR(VLOOKUP(C227,キャラ!$A:$E,4,FALSE),"")="","",IFERROR(VLOOKUP(C227,キャラ!$A:$E,4,FALSE),"")&amp;"（"&amp;IF(D227="",IFERROR(VLOOKUP(C227,キャラ!$A:$E,5,FALSE),""),0.5)&amp;"）")&amp;IF(IFERROR(VLOOKUP(D227,キャラ!$A:$E,4,FALSE),"")="",""," / "&amp;IFERROR(VLOOKUP(D227,キャラ!$A:$E,4,FALSE),"")&amp;"（0.5）")</f>
        <v/>
      </c>
      <c r="M227" s="3" t="n"/>
      <c r="N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4">
        <f>IF(AND(C228="",F228=""),"",_xlfn.TEXTJOIN(", ",TRUE,共通設定!$B$2,E228,IFERROR(VLOOKUP(C228,キャラ!$A:$E,2,FALSE),""),IFERROR(VLOOKUP(C228,キャラ!$A:$E,3,FALSE),""),IFERROR(VLOOKUP(D228,キャラ!$A:$E,2,FALSE),""),IFERROR(VLOOKUP(D228,キャラ!$A:$E,3,FALSE),""),F228,G228,H228,I228))</f>
        <v/>
      </c>
      <c r="K228" s="4">
        <f>IF(OR(A228="",B228=""),"",共通設定!$B$4&amp;"/"&amp;A228&amp;"_c"&amp;TEXT(B228,"00"))</f>
        <v/>
      </c>
      <c r="L228" s="4">
        <f>IF(IFERROR(VLOOKUP(C228,キャラ!$A:$E,4,FALSE),"")="","",IFERROR(VLOOKUP(C228,キャラ!$A:$E,4,FALSE),"")&amp;"（"&amp;IF(D228="",IFERROR(VLOOKUP(C228,キャラ!$A:$E,5,FALSE),""),0.5)&amp;"）")&amp;IF(IFERROR(VLOOKUP(D228,キャラ!$A:$E,4,FALSE),"")="",""," / "&amp;IFERROR(VLOOKUP(D228,キャラ!$A:$E,4,FALSE),"")&amp;"（0.5）")</f>
        <v/>
      </c>
      <c r="M228" s="3" t="n"/>
      <c r="N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4">
        <f>IF(AND(C229="",F229=""),"",_xlfn.TEXTJOIN(", ",TRUE,共通設定!$B$2,E229,IFERROR(VLOOKUP(C229,キャラ!$A:$E,2,FALSE),""),IFERROR(VLOOKUP(C229,キャラ!$A:$E,3,FALSE),""),IFERROR(VLOOKUP(D229,キャラ!$A:$E,2,FALSE),""),IFERROR(VLOOKUP(D229,キャラ!$A:$E,3,FALSE),""),F229,G229,H229,I229))</f>
        <v/>
      </c>
      <c r="K229" s="4">
        <f>IF(OR(A229="",B229=""),"",共通設定!$B$4&amp;"/"&amp;A229&amp;"_c"&amp;TEXT(B229,"00"))</f>
        <v/>
      </c>
      <c r="L229" s="4">
        <f>IF(IFERROR(VLOOKUP(C229,キャラ!$A:$E,4,FALSE),"")="","",IFERROR(VLOOKUP(C229,キャラ!$A:$E,4,FALSE),"")&amp;"（"&amp;IF(D229="",IFERROR(VLOOKUP(C229,キャラ!$A:$E,5,FALSE),""),0.5)&amp;"）")&amp;IF(IFERROR(VLOOKUP(D229,キャラ!$A:$E,4,FALSE),"")="",""," / "&amp;IFERROR(VLOOKUP(D229,キャラ!$A:$E,4,FALSE),"")&amp;"（0.5）")</f>
        <v/>
      </c>
      <c r="M229" s="3" t="n"/>
      <c r="N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4">
        <f>IF(AND(C230="",F230=""),"",_xlfn.TEXTJOIN(", ",TRUE,共通設定!$B$2,E230,IFERROR(VLOOKUP(C230,キャラ!$A:$E,2,FALSE),""),IFERROR(VLOOKUP(C230,キャラ!$A:$E,3,FALSE),""),IFERROR(VLOOKUP(D230,キャラ!$A:$E,2,FALSE),""),IFERROR(VLOOKUP(D230,キャラ!$A:$E,3,FALSE),""),F230,G230,H230,I230))</f>
        <v/>
      </c>
      <c r="K230" s="4">
        <f>IF(OR(A230="",B230=""),"",共通設定!$B$4&amp;"/"&amp;A230&amp;"_c"&amp;TEXT(B230,"00"))</f>
        <v/>
      </c>
      <c r="L230" s="4">
        <f>IF(IFERROR(VLOOKUP(C230,キャラ!$A:$E,4,FALSE),"")="","",IFERROR(VLOOKUP(C230,キャラ!$A:$E,4,FALSE),"")&amp;"（"&amp;IF(D230="",IFERROR(VLOOKUP(C230,キャラ!$A:$E,5,FALSE),""),0.5)&amp;"）")&amp;IF(IFERROR(VLOOKUP(D230,キャラ!$A:$E,4,FALSE),"")="",""," / "&amp;IFERROR(VLOOKUP(D230,キャラ!$A:$E,4,FALSE),"")&amp;"（0.5）")</f>
        <v/>
      </c>
      <c r="M230" s="3" t="n"/>
      <c r="N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4">
        <f>IF(AND(C231="",F231=""),"",_xlfn.TEXTJOIN(", ",TRUE,共通設定!$B$2,E231,IFERROR(VLOOKUP(C231,キャラ!$A:$E,2,FALSE),""),IFERROR(VLOOKUP(C231,キャラ!$A:$E,3,FALSE),""),IFERROR(VLOOKUP(D231,キャラ!$A:$E,2,FALSE),""),IFERROR(VLOOKUP(D231,キャラ!$A:$E,3,FALSE),""),F231,G231,H231,I231))</f>
        <v/>
      </c>
      <c r="K231" s="4">
        <f>IF(OR(A231="",B231=""),"",共通設定!$B$4&amp;"/"&amp;A231&amp;"_c"&amp;TEXT(B231,"00"))</f>
        <v/>
      </c>
      <c r="L231" s="4">
        <f>IF(IFERROR(VLOOKUP(C231,キャラ!$A:$E,4,FALSE),"")="","",IFERROR(VLOOKUP(C231,キャラ!$A:$E,4,FALSE),"")&amp;"（"&amp;IF(D231="",IFERROR(VLOOKUP(C231,キャラ!$A:$E,5,FALSE),""),0.5)&amp;"）")&amp;IF(IFERROR(VLOOKUP(D231,キャラ!$A:$E,4,FALSE),"")="",""," / "&amp;IFERROR(VLOOKUP(D231,キャラ!$A:$E,4,FALSE),"")&amp;"（0.5）")</f>
        <v/>
      </c>
      <c r="M231" s="3" t="n"/>
      <c r="N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4">
        <f>IF(AND(C232="",F232=""),"",_xlfn.TEXTJOIN(", ",TRUE,共通設定!$B$2,E232,IFERROR(VLOOKUP(C232,キャラ!$A:$E,2,FALSE),""),IFERROR(VLOOKUP(C232,キャラ!$A:$E,3,FALSE),""),IFERROR(VLOOKUP(D232,キャラ!$A:$E,2,FALSE),""),IFERROR(VLOOKUP(D232,キャラ!$A:$E,3,FALSE),""),F232,G232,H232,I232))</f>
        <v/>
      </c>
      <c r="K232" s="4">
        <f>IF(OR(A232="",B232=""),"",共通設定!$B$4&amp;"/"&amp;A232&amp;"_c"&amp;TEXT(B232,"00"))</f>
        <v/>
      </c>
      <c r="L232" s="4">
        <f>IF(IFERROR(VLOOKUP(C232,キャラ!$A:$E,4,FALSE),"")="","",IFERROR(VLOOKUP(C232,キャラ!$A:$E,4,FALSE),"")&amp;"（"&amp;IF(D232="",IFERROR(VLOOKUP(C232,キャラ!$A:$E,5,FALSE),""),0.5)&amp;"）")&amp;IF(IFERROR(VLOOKUP(D232,キャラ!$A:$E,4,FALSE),"")="",""," / "&amp;IFERROR(VLOOKUP(D232,キャラ!$A:$E,4,FALSE),"")&amp;"（0.5）")</f>
        <v/>
      </c>
      <c r="M232" s="3" t="n"/>
      <c r="N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4">
        <f>IF(AND(C233="",F233=""),"",_xlfn.TEXTJOIN(", ",TRUE,共通設定!$B$2,E233,IFERROR(VLOOKUP(C233,キャラ!$A:$E,2,FALSE),""),IFERROR(VLOOKUP(C233,キャラ!$A:$E,3,FALSE),""),IFERROR(VLOOKUP(D233,キャラ!$A:$E,2,FALSE),""),IFERROR(VLOOKUP(D233,キャラ!$A:$E,3,FALSE),""),F233,G233,H233,I233))</f>
        <v/>
      </c>
      <c r="K233" s="4">
        <f>IF(OR(A233="",B233=""),"",共通設定!$B$4&amp;"/"&amp;A233&amp;"_c"&amp;TEXT(B233,"00"))</f>
        <v/>
      </c>
      <c r="L233" s="4">
        <f>IF(IFERROR(VLOOKUP(C233,キャラ!$A:$E,4,FALSE),"")="","",IFERROR(VLOOKUP(C233,キャラ!$A:$E,4,FALSE),"")&amp;"（"&amp;IF(D233="",IFERROR(VLOOKUP(C233,キャラ!$A:$E,5,FALSE),""),0.5)&amp;"）")&amp;IF(IFERROR(VLOOKUP(D233,キャラ!$A:$E,4,FALSE),"")="",""," / "&amp;IFERROR(VLOOKUP(D233,キャラ!$A:$E,4,FALSE),"")&amp;"（0.5）")</f>
        <v/>
      </c>
      <c r="M233" s="3" t="n"/>
      <c r="N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4">
        <f>IF(AND(C234="",F234=""),"",_xlfn.TEXTJOIN(", ",TRUE,共通設定!$B$2,E234,IFERROR(VLOOKUP(C234,キャラ!$A:$E,2,FALSE),""),IFERROR(VLOOKUP(C234,キャラ!$A:$E,3,FALSE),""),IFERROR(VLOOKUP(D234,キャラ!$A:$E,2,FALSE),""),IFERROR(VLOOKUP(D234,キャラ!$A:$E,3,FALSE),""),F234,G234,H234,I234))</f>
        <v/>
      </c>
      <c r="K234" s="4">
        <f>IF(OR(A234="",B234=""),"",共通設定!$B$4&amp;"/"&amp;A234&amp;"_c"&amp;TEXT(B234,"00"))</f>
        <v/>
      </c>
      <c r="L234" s="4">
        <f>IF(IFERROR(VLOOKUP(C234,キャラ!$A:$E,4,FALSE),"")="","",IFERROR(VLOOKUP(C234,キャラ!$A:$E,4,FALSE),"")&amp;"（"&amp;IF(D234="",IFERROR(VLOOKUP(C234,キャラ!$A:$E,5,FALSE),""),0.5)&amp;"）")&amp;IF(IFERROR(VLOOKUP(D234,キャラ!$A:$E,4,FALSE),"")="",""," / "&amp;IFERROR(VLOOKUP(D234,キャラ!$A:$E,4,FALSE),"")&amp;"（0.5）")</f>
        <v/>
      </c>
      <c r="M234" s="3" t="n"/>
      <c r="N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4">
        <f>IF(AND(C235="",F235=""),"",_xlfn.TEXTJOIN(", ",TRUE,共通設定!$B$2,E235,IFERROR(VLOOKUP(C235,キャラ!$A:$E,2,FALSE),""),IFERROR(VLOOKUP(C235,キャラ!$A:$E,3,FALSE),""),IFERROR(VLOOKUP(D235,キャラ!$A:$E,2,FALSE),""),IFERROR(VLOOKUP(D235,キャラ!$A:$E,3,FALSE),""),F235,G235,H235,I235))</f>
        <v/>
      </c>
      <c r="K235" s="4">
        <f>IF(OR(A235="",B235=""),"",共通設定!$B$4&amp;"/"&amp;A235&amp;"_c"&amp;TEXT(B235,"00"))</f>
        <v/>
      </c>
      <c r="L235" s="4">
        <f>IF(IFERROR(VLOOKUP(C235,キャラ!$A:$E,4,FALSE),"")="","",IFERROR(VLOOKUP(C235,キャラ!$A:$E,4,FALSE),"")&amp;"（"&amp;IF(D235="",IFERROR(VLOOKUP(C235,キャラ!$A:$E,5,FALSE),""),0.5)&amp;"）")&amp;IF(IFERROR(VLOOKUP(D235,キャラ!$A:$E,4,FALSE),"")="",""," / "&amp;IFERROR(VLOOKUP(D235,キャラ!$A:$E,4,FALSE),"")&amp;"（0.5）")</f>
        <v/>
      </c>
      <c r="M235" s="3" t="n"/>
      <c r="N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4">
        <f>IF(AND(C236="",F236=""),"",_xlfn.TEXTJOIN(", ",TRUE,共通設定!$B$2,E236,IFERROR(VLOOKUP(C236,キャラ!$A:$E,2,FALSE),""),IFERROR(VLOOKUP(C236,キャラ!$A:$E,3,FALSE),""),IFERROR(VLOOKUP(D236,キャラ!$A:$E,2,FALSE),""),IFERROR(VLOOKUP(D236,キャラ!$A:$E,3,FALSE),""),F236,G236,H236,I236))</f>
        <v/>
      </c>
      <c r="K236" s="4">
        <f>IF(OR(A236="",B236=""),"",共通設定!$B$4&amp;"/"&amp;A236&amp;"_c"&amp;TEXT(B236,"00"))</f>
        <v/>
      </c>
      <c r="L236" s="4">
        <f>IF(IFERROR(VLOOKUP(C236,キャラ!$A:$E,4,FALSE),"")="","",IFERROR(VLOOKUP(C236,キャラ!$A:$E,4,FALSE),"")&amp;"（"&amp;IF(D236="",IFERROR(VLOOKUP(C236,キャラ!$A:$E,5,FALSE),""),0.5)&amp;"）")&amp;IF(IFERROR(VLOOKUP(D236,キャラ!$A:$E,4,FALSE),"")="",""," / "&amp;IFERROR(VLOOKUP(D236,キャラ!$A:$E,4,FALSE),"")&amp;"（0.5）")</f>
        <v/>
      </c>
      <c r="M236" s="3" t="n"/>
      <c r="N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4">
        <f>IF(AND(C237="",F237=""),"",_xlfn.TEXTJOIN(", ",TRUE,共通設定!$B$2,E237,IFERROR(VLOOKUP(C237,キャラ!$A:$E,2,FALSE),""),IFERROR(VLOOKUP(C237,キャラ!$A:$E,3,FALSE),""),IFERROR(VLOOKUP(D237,キャラ!$A:$E,2,FALSE),""),IFERROR(VLOOKUP(D237,キャラ!$A:$E,3,FALSE),""),F237,G237,H237,I237))</f>
        <v/>
      </c>
      <c r="K237" s="4">
        <f>IF(OR(A237="",B237=""),"",共通設定!$B$4&amp;"/"&amp;A237&amp;"_c"&amp;TEXT(B237,"00"))</f>
        <v/>
      </c>
      <c r="L237" s="4">
        <f>IF(IFERROR(VLOOKUP(C237,キャラ!$A:$E,4,FALSE),"")="","",IFERROR(VLOOKUP(C237,キャラ!$A:$E,4,FALSE),"")&amp;"（"&amp;IF(D237="",IFERROR(VLOOKUP(C237,キャラ!$A:$E,5,FALSE),""),0.5)&amp;"）")&amp;IF(IFERROR(VLOOKUP(D237,キャラ!$A:$E,4,FALSE),"")="",""," / "&amp;IFERROR(VLOOKUP(D237,キャラ!$A:$E,4,FALSE),"")&amp;"（0.5）")</f>
        <v/>
      </c>
      <c r="M237" s="3" t="n"/>
      <c r="N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4">
        <f>IF(AND(C238="",F238=""),"",_xlfn.TEXTJOIN(", ",TRUE,共通設定!$B$2,E238,IFERROR(VLOOKUP(C238,キャラ!$A:$E,2,FALSE),""),IFERROR(VLOOKUP(C238,キャラ!$A:$E,3,FALSE),""),IFERROR(VLOOKUP(D238,キャラ!$A:$E,2,FALSE),""),IFERROR(VLOOKUP(D238,キャラ!$A:$E,3,FALSE),""),F238,G238,H238,I238))</f>
        <v/>
      </c>
      <c r="K238" s="4">
        <f>IF(OR(A238="",B238=""),"",共通設定!$B$4&amp;"/"&amp;A238&amp;"_c"&amp;TEXT(B238,"00"))</f>
        <v/>
      </c>
      <c r="L238" s="4">
        <f>IF(IFERROR(VLOOKUP(C238,キャラ!$A:$E,4,FALSE),"")="","",IFERROR(VLOOKUP(C238,キャラ!$A:$E,4,FALSE),"")&amp;"（"&amp;IF(D238="",IFERROR(VLOOKUP(C238,キャラ!$A:$E,5,FALSE),""),0.5)&amp;"）")&amp;IF(IFERROR(VLOOKUP(D238,キャラ!$A:$E,4,FALSE),"")="",""," / "&amp;IFERROR(VLOOKUP(D238,キャラ!$A:$E,4,FALSE),"")&amp;"（0.5）")</f>
        <v/>
      </c>
      <c r="M238" s="3" t="n"/>
      <c r="N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4">
        <f>IF(AND(C239="",F239=""),"",_xlfn.TEXTJOIN(", ",TRUE,共通設定!$B$2,E239,IFERROR(VLOOKUP(C239,キャラ!$A:$E,2,FALSE),""),IFERROR(VLOOKUP(C239,キャラ!$A:$E,3,FALSE),""),IFERROR(VLOOKUP(D239,キャラ!$A:$E,2,FALSE),""),IFERROR(VLOOKUP(D239,キャラ!$A:$E,3,FALSE),""),F239,G239,H239,I239))</f>
        <v/>
      </c>
      <c r="K239" s="4">
        <f>IF(OR(A239="",B239=""),"",共通設定!$B$4&amp;"/"&amp;A239&amp;"_c"&amp;TEXT(B239,"00"))</f>
        <v/>
      </c>
      <c r="L239" s="4">
        <f>IF(IFERROR(VLOOKUP(C239,キャラ!$A:$E,4,FALSE),"")="","",IFERROR(VLOOKUP(C239,キャラ!$A:$E,4,FALSE),"")&amp;"（"&amp;IF(D239="",IFERROR(VLOOKUP(C239,キャラ!$A:$E,5,FALSE),""),0.5)&amp;"）")&amp;IF(IFERROR(VLOOKUP(D239,キャラ!$A:$E,4,FALSE),"")="",""," / "&amp;IFERROR(VLOOKUP(D239,キャラ!$A:$E,4,FALSE),"")&amp;"（0.5）")</f>
        <v/>
      </c>
      <c r="M239" s="3" t="n"/>
      <c r="N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4">
        <f>IF(AND(C240="",F240=""),"",_xlfn.TEXTJOIN(", ",TRUE,共通設定!$B$2,E240,IFERROR(VLOOKUP(C240,キャラ!$A:$E,2,FALSE),""),IFERROR(VLOOKUP(C240,キャラ!$A:$E,3,FALSE),""),IFERROR(VLOOKUP(D240,キャラ!$A:$E,2,FALSE),""),IFERROR(VLOOKUP(D240,キャラ!$A:$E,3,FALSE),""),F240,G240,H240,I240))</f>
        <v/>
      </c>
      <c r="K240" s="4">
        <f>IF(OR(A240="",B240=""),"",共通設定!$B$4&amp;"/"&amp;A240&amp;"_c"&amp;TEXT(B240,"00"))</f>
        <v/>
      </c>
      <c r="L240" s="4">
        <f>IF(IFERROR(VLOOKUP(C240,キャラ!$A:$E,4,FALSE),"")="","",IFERROR(VLOOKUP(C240,キャラ!$A:$E,4,FALSE),"")&amp;"（"&amp;IF(D240="",IFERROR(VLOOKUP(C240,キャラ!$A:$E,5,FALSE),""),0.5)&amp;"）")&amp;IF(IFERROR(VLOOKUP(D240,キャラ!$A:$E,4,FALSE),"")="",""," / "&amp;IFERROR(VLOOKUP(D240,キャラ!$A:$E,4,FALSE),"")&amp;"（0.5）")</f>
        <v/>
      </c>
      <c r="M240" s="3" t="n"/>
      <c r="N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4">
        <f>IF(AND(C241="",F241=""),"",_xlfn.TEXTJOIN(", ",TRUE,共通設定!$B$2,E241,IFERROR(VLOOKUP(C241,キャラ!$A:$E,2,FALSE),""),IFERROR(VLOOKUP(C241,キャラ!$A:$E,3,FALSE),""),IFERROR(VLOOKUP(D241,キャラ!$A:$E,2,FALSE),""),IFERROR(VLOOKUP(D241,キャラ!$A:$E,3,FALSE),""),F241,G241,H241,I241))</f>
        <v/>
      </c>
      <c r="K241" s="4">
        <f>IF(OR(A241="",B241=""),"",共通設定!$B$4&amp;"/"&amp;A241&amp;"_c"&amp;TEXT(B241,"00"))</f>
        <v/>
      </c>
      <c r="L241" s="4">
        <f>IF(IFERROR(VLOOKUP(C241,キャラ!$A:$E,4,FALSE),"")="","",IFERROR(VLOOKUP(C241,キャラ!$A:$E,4,FALSE),"")&amp;"（"&amp;IF(D241="",IFERROR(VLOOKUP(C241,キャラ!$A:$E,5,FALSE),""),0.5)&amp;"）")&amp;IF(IFERROR(VLOOKUP(D241,キャラ!$A:$E,4,FALSE),"")="",""," / "&amp;IFERROR(VLOOKUP(D241,キャラ!$A:$E,4,FALSE),"")&amp;"（0.5）")</f>
        <v/>
      </c>
      <c r="M241" s="3" t="n"/>
      <c r="N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4">
        <f>IF(AND(C242="",F242=""),"",_xlfn.TEXTJOIN(", ",TRUE,共通設定!$B$2,E242,IFERROR(VLOOKUP(C242,キャラ!$A:$E,2,FALSE),""),IFERROR(VLOOKUP(C242,キャラ!$A:$E,3,FALSE),""),IFERROR(VLOOKUP(D242,キャラ!$A:$E,2,FALSE),""),IFERROR(VLOOKUP(D242,キャラ!$A:$E,3,FALSE),""),F242,G242,H242,I242))</f>
        <v/>
      </c>
      <c r="K242" s="4">
        <f>IF(OR(A242="",B242=""),"",共通設定!$B$4&amp;"/"&amp;A242&amp;"_c"&amp;TEXT(B242,"00"))</f>
        <v/>
      </c>
      <c r="L242" s="4">
        <f>IF(IFERROR(VLOOKUP(C242,キャラ!$A:$E,4,FALSE),"")="","",IFERROR(VLOOKUP(C242,キャラ!$A:$E,4,FALSE),"")&amp;"（"&amp;IF(D242="",IFERROR(VLOOKUP(C242,キャラ!$A:$E,5,FALSE),""),0.5)&amp;"）")&amp;IF(IFERROR(VLOOKUP(D242,キャラ!$A:$E,4,FALSE),"")="",""," / "&amp;IFERROR(VLOOKUP(D242,キャラ!$A:$E,4,FALSE),"")&amp;"（0.5）")</f>
        <v/>
      </c>
      <c r="M242" s="3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4">
        <f>IF(AND(C243="",F243=""),"",_xlfn.TEXTJOIN(", ",TRUE,共通設定!$B$2,E243,IFERROR(VLOOKUP(C243,キャラ!$A:$E,2,FALSE),""),IFERROR(VLOOKUP(C243,キャラ!$A:$E,3,FALSE),""),IFERROR(VLOOKUP(D243,キャラ!$A:$E,2,FALSE),""),IFERROR(VLOOKUP(D243,キャラ!$A:$E,3,FALSE),""),F243,G243,H243,I243))</f>
        <v/>
      </c>
      <c r="K243" s="4">
        <f>IF(OR(A243="",B243=""),"",共通設定!$B$4&amp;"/"&amp;A243&amp;"_c"&amp;TEXT(B243,"00"))</f>
        <v/>
      </c>
      <c r="L243" s="4">
        <f>IF(IFERROR(VLOOKUP(C243,キャラ!$A:$E,4,FALSE),"")="","",IFERROR(VLOOKUP(C243,キャラ!$A:$E,4,FALSE),"")&amp;"（"&amp;IF(D243="",IFERROR(VLOOKUP(C243,キャラ!$A:$E,5,FALSE),""),0.5)&amp;"）")&amp;IF(IFERROR(VLOOKUP(D243,キャラ!$A:$E,4,FALSE),"")="",""," / "&amp;IFERROR(VLOOKUP(D243,キャラ!$A:$E,4,FALSE),"")&amp;"（0.5）")</f>
        <v/>
      </c>
      <c r="M243" s="3" t="n"/>
      <c r="N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4">
        <f>IF(AND(C244="",F244=""),"",_xlfn.TEXTJOIN(", ",TRUE,共通設定!$B$2,E244,IFERROR(VLOOKUP(C244,キャラ!$A:$E,2,FALSE),""),IFERROR(VLOOKUP(C244,キャラ!$A:$E,3,FALSE),""),IFERROR(VLOOKUP(D244,キャラ!$A:$E,2,FALSE),""),IFERROR(VLOOKUP(D244,キャラ!$A:$E,3,FALSE),""),F244,G244,H244,I244))</f>
        <v/>
      </c>
      <c r="K244" s="4">
        <f>IF(OR(A244="",B244=""),"",共通設定!$B$4&amp;"/"&amp;A244&amp;"_c"&amp;TEXT(B244,"00"))</f>
        <v/>
      </c>
      <c r="L244" s="4">
        <f>IF(IFERROR(VLOOKUP(C244,キャラ!$A:$E,4,FALSE),"")="","",IFERROR(VLOOKUP(C244,キャラ!$A:$E,4,FALSE),"")&amp;"（"&amp;IF(D244="",IFERROR(VLOOKUP(C244,キャラ!$A:$E,5,FALSE),""),0.5)&amp;"）")&amp;IF(IFERROR(VLOOKUP(D244,キャラ!$A:$E,4,FALSE),"")="",""," / "&amp;IFERROR(VLOOKUP(D244,キャラ!$A:$E,4,FALSE),"")&amp;"（0.5）")</f>
        <v/>
      </c>
      <c r="M244" s="3" t="n"/>
      <c r="N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4">
        <f>IF(AND(C245="",F245=""),"",_xlfn.TEXTJOIN(", ",TRUE,共通設定!$B$2,E245,IFERROR(VLOOKUP(C245,キャラ!$A:$E,2,FALSE),""),IFERROR(VLOOKUP(C245,キャラ!$A:$E,3,FALSE),""),IFERROR(VLOOKUP(D245,キャラ!$A:$E,2,FALSE),""),IFERROR(VLOOKUP(D245,キャラ!$A:$E,3,FALSE),""),F245,G245,H245,I245))</f>
        <v/>
      </c>
      <c r="K245" s="4">
        <f>IF(OR(A245="",B245=""),"",共通設定!$B$4&amp;"/"&amp;A245&amp;"_c"&amp;TEXT(B245,"00"))</f>
        <v/>
      </c>
      <c r="L245" s="4">
        <f>IF(IFERROR(VLOOKUP(C245,キャラ!$A:$E,4,FALSE),"")="","",IFERROR(VLOOKUP(C245,キャラ!$A:$E,4,FALSE),"")&amp;"（"&amp;IF(D245="",IFERROR(VLOOKUP(C245,キャラ!$A:$E,5,FALSE),""),0.5)&amp;"）")&amp;IF(IFERROR(VLOOKUP(D245,キャラ!$A:$E,4,FALSE),"")="",""," / "&amp;IFERROR(VLOOKUP(D245,キャラ!$A:$E,4,FALSE),"")&amp;"（0.5）")</f>
        <v/>
      </c>
      <c r="M245" s="3" t="n"/>
      <c r="N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4">
        <f>IF(AND(C246="",F246=""),"",_xlfn.TEXTJOIN(", ",TRUE,共通設定!$B$2,E246,IFERROR(VLOOKUP(C246,キャラ!$A:$E,2,FALSE),""),IFERROR(VLOOKUP(C246,キャラ!$A:$E,3,FALSE),""),IFERROR(VLOOKUP(D246,キャラ!$A:$E,2,FALSE),""),IFERROR(VLOOKUP(D246,キャラ!$A:$E,3,FALSE),""),F246,G246,H246,I246))</f>
        <v/>
      </c>
      <c r="K246" s="4">
        <f>IF(OR(A246="",B246=""),"",共通設定!$B$4&amp;"/"&amp;A246&amp;"_c"&amp;TEXT(B246,"00"))</f>
        <v/>
      </c>
      <c r="L246" s="4">
        <f>IF(IFERROR(VLOOKUP(C246,キャラ!$A:$E,4,FALSE),"")="","",IFERROR(VLOOKUP(C246,キャラ!$A:$E,4,FALSE),"")&amp;"（"&amp;IF(D246="",IFERROR(VLOOKUP(C246,キャラ!$A:$E,5,FALSE),""),0.5)&amp;"）")&amp;IF(IFERROR(VLOOKUP(D246,キャラ!$A:$E,4,FALSE),"")="",""," / "&amp;IFERROR(VLOOKUP(D246,キャラ!$A:$E,4,FALSE),"")&amp;"（0.5）")</f>
        <v/>
      </c>
      <c r="M246" s="3" t="n"/>
      <c r="N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4">
        <f>IF(AND(C247="",F247=""),"",_xlfn.TEXTJOIN(", ",TRUE,共通設定!$B$2,E247,IFERROR(VLOOKUP(C247,キャラ!$A:$E,2,FALSE),""),IFERROR(VLOOKUP(C247,キャラ!$A:$E,3,FALSE),""),IFERROR(VLOOKUP(D247,キャラ!$A:$E,2,FALSE),""),IFERROR(VLOOKUP(D247,キャラ!$A:$E,3,FALSE),""),F247,G247,H247,I247))</f>
        <v/>
      </c>
      <c r="K247" s="4">
        <f>IF(OR(A247="",B247=""),"",共通設定!$B$4&amp;"/"&amp;A247&amp;"_c"&amp;TEXT(B247,"00"))</f>
        <v/>
      </c>
      <c r="L247" s="4">
        <f>IF(IFERROR(VLOOKUP(C247,キャラ!$A:$E,4,FALSE),"")="","",IFERROR(VLOOKUP(C247,キャラ!$A:$E,4,FALSE),"")&amp;"（"&amp;IF(D247="",IFERROR(VLOOKUP(C247,キャラ!$A:$E,5,FALSE),""),0.5)&amp;"）")&amp;IF(IFERROR(VLOOKUP(D247,キャラ!$A:$E,4,FALSE),"")="",""," / "&amp;IFERROR(VLOOKUP(D247,キャラ!$A:$E,4,FALSE),"")&amp;"（0.5）")</f>
        <v/>
      </c>
      <c r="M247" s="3" t="n"/>
      <c r="N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4">
        <f>IF(AND(C248="",F248=""),"",_xlfn.TEXTJOIN(", ",TRUE,共通設定!$B$2,E248,IFERROR(VLOOKUP(C248,キャラ!$A:$E,2,FALSE),""),IFERROR(VLOOKUP(C248,キャラ!$A:$E,3,FALSE),""),IFERROR(VLOOKUP(D248,キャラ!$A:$E,2,FALSE),""),IFERROR(VLOOKUP(D248,キャラ!$A:$E,3,FALSE),""),F248,G248,H248,I248))</f>
        <v/>
      </c>
      <c r="K248" s="4">
        <f>IF(OR(A248="",B248=""),"",共通設定!$B$4&amp;"/"&amp;A248&amp;"_c"&amp;TEXT(B248,"00"))</f>
        <v/>
      </c>
      <c r="L248" s="4">
        <f>IF(IFERROR(VLOOKUP(C248,キャラ!$A:$E,4,FALSE),"")="","",IFERROR(VLOOKUP(C248,キャラ!$A:$E,4,FALSE),"")&amp;"（"&amp;IF(D248="",IFERROR(VLOOKUP(C248,キャラ!$A:$E,5,FALSE),""),0.5)&amp;"）")&amp;IF(IFERROR(VLOOKUP(D248,キャラ!$A:$E,4,FALSE),"")="",""," / "&amp;IFERROR(VLOOKUP(D248,キャラ!$A:$E,4,FALSE),"")&amp;"（0.5）")</f>
        <v/>
      </c>
      <c r="M248" s="3" t="n"/>
      <c r="N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4">
        <f>IF(AND(C249="",F249=""),"",_xlfn.TEXTJOIN(", ",TRUE,共通設定!$B$2,E249,IFERROR(VLOOKUP(C249,キャラ!$A:$E,2,FALSE),""),IFERROR(VLOOKUP(C249,キャラ!$A:$E,3,FALSE),""),IFERROR(VLOOKUP(D249,キャラ!$A:$E,2,FALSE),""),IFERROR(VLOOKUP(D249,キャラ!$A:$E,3,FALSE),""),F249,G249,H249,I249))</f>
        <v/>
      </c>
      <c r="K249" s="4">
        <f>IF(OR(A249="",B249=""),"",共通設定!$B$4&amp;"/"&amp;A249&amp;"_c"&amp;TEXT(B249,"00"))</f>
        <v/>
      </c>
      <c r="L249" s="4">
        <f>IF(IFERROR(VLOOKUP(C249,キャラ!$A:$E,4,FALSE),"")="","",IFERROR(VLOOKUP(C249,キャラ!$A:$E,4,FALSE),"")&amp;"（"&amp;IF(D249="",IFERROR(VLOOKUP(C249,キャラ!$A:$E,5,FALSE),""),0.5)&amp;"）")&amp;IF(IFERROR(VLOOKUP(D249,キャラ!$A:$E,4,FALSE),"")="",""," / "&amp;IFERROR(VLOOKUP(D249,キャラ!$A:$E,4,FALSE),"")&amp;"（0.5）")</f>
        <v/>
      </c>
      <c r="M249" s="3" t="n"/>
      <c r="N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4">
        <f>IF(AND(C250="",F250=""),"",_xlfn.TEXTJOIN(", ",TRUE,共通設定!$B$2,E250,IFERROR(VLOOKUP(C250,キャラ!$A:$E,2,FALSE),""),IFERROR(VLOOKUP(C250,キャラ!$A:$E,3,FALSE),""),IFERROR(VLOOKUP(D250,キャラ!$A:$E,2,FALSE),""),IFERROR(VLOOKUP(D250,キャラ!$A:$E,3,FALSE),""),F250,G250,H250,I250))</f>
        <v/>
      </c>
      <c r="K250" s="4">
        <f>IF(OR(A250="",B250=""),"",共通設定!$B$4&amp;"/"&amp;A250&amp;"_c"&amp;TEXT(B250,"00"))</f>
        <v/>
      </c>
      <c r="L250" s="4">
        <f>IF(IFERROR(VLOOKUP(C250,キャラ!$A:$E,4,FALSE),"")="","",IFERROR(VLOOKUP(C250,キャラ!$A:$E,4,FALSE),"")&amp;"（"&amp;IF(D250="",IFERROR(VLOOKUP(C250,キャラ!$A:$E,5,FALSE),""),0.5)&amp;"）")&amp;IF(IFERROR(VLOOKUP(D250,キャラ!$A:$E,4,FALSE),"")="",""," / "&amp;IFERROR(VLOOKUP(D250,キャラ!$A:$E,4,FALSE),"")&amp;"（0.5）")</f>
        <v/>
      </c>
      <c r="M250" s="3" t="n"/>
      <c r="N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4">
        <f>IF(AND(C251="",F251=""),"",_xlfn.TEXTJOIN(", ",TRUE,共通設定!$B$2,E251,IFERROR(VLOOKUP(C251,キャラ!$A:$E,2,FALSE),""),IFERROR(VLOOKUP(C251,キャラ!$A:$E,3,FALSE),""),IFERROR(VLOOKUP(D251,キャラ!$A:$E,2,FALSE),""),IFERROR(VLOOKUP(D251,キャラ!$A:$E,3,FALSE),""),F251,G251,H251,I251))</f>
        <v/>
      </c>
      <c r="K251" s="4">
        <f>IF(OR(A251="",B251=""),"",共通設定!$B$4&amp;"/"&amp;A251&amp;"_c"&amp;TEXT(B251,"00"))</f>
        <v/>
      </c>
      <c r="L251" s="4">
        <f>IF(IFERROR(VLOOKUP(C251,キャラ!$A:$E,4,FALSE),"")="","",IFERROR(VLOOKUP(C251,キャラ!$A:$E,4,FALSE),"")&amp;"（"&amp;IF(D251="",IFERROR(VLOOKUP(C251,キャラ!$A:$E,5,FALSE),""),0.5)&amp;"）")&amp;IF(IFERROR(VLOOKUP(D251,キャラ!$A:$E,4,FALSE),"")="",""," / "&amp;IFERROR(VLOOKUP(D251,キャラ!$A:$E,4,FALSE),"")&amp;"（0.5）")</f>
        <v/>
      </c>
      <c r="M251" s="3" t="n"/>
      <c r="N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4">
        <f>IF(AND(C252="",F252=""),"",_xlfn.TEXTJOIN(", ",TRUE,共通設定!$B$2,E252,IFERROR(VLOOKUP(C252,キャラ!$A:$E,2,FALSE),""),IFERROR(VLOOKUP(C252,キャラ!$A:$E,3,FALSE),""),IFERROR(VLOOKUP(D252,キャラ!$A:$E,2,FALSE),""),IFERROR(VLOOKUP(D252,キャラ!$A:$E,3,FALSE),""),F252,G252,H252,I252))</f>
        <v/>
      </c>
      <c r="K252" s="4">
        <f>IF(OR(A252="",B252=""),"",共通設定!$B$4&amp;"/"&amp;A252&amp;"_c"&amp;TEXT(B252,"00"))</f>
        <v/>
      </c>
      <c r="L252" s="4">
        <f>IF(IFERROR(VLOOKUP(C252,キャラ!$A:$E,4,FALSE),"")="","",IFERROR(VLOOKUP(C252,キャラ!$A:$E,4,FALSE),"")&amp;"（"&amp;IF(D252="",IFERROR(VLOOKUP(C252,キャラ!$A:$E,5,FALSE),""),0.5)&amp;"）")&amp;IF(IFERROR(VLOOKUP(D252,キャラ!$A:$E,4,FALSE),"")="",""," / "&amp;IFERROR(VLOOKUP(D252,キャラ!$A:$E,4,FALSE),"")&amp;"（0.5）")</f>
        <v/>
      </c>
      <c r="M252" s="3" t="n"/>
      <c r="N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4">
        <f>IF(AND(C253="",F253=""),"",_xlfn.TEXTJOIN(", ",TRUE,共通設定!$B$2,E253,IFERROR(VLOOKUP(C253,キャラ!$A:$E,2,FALSE),""),IFERROR(VLOOKUP(C253,キャラ!$A:$E,3,FALSE),""),IFERROR(VLOOKUP(D253,キャラ!$A:$E,2,FALSE),""),IFERROR(VLOOKUP(D253,キャラ!$A:$E,3,FALSE),""),F253,G253,H253,I253))</f>
        <v/>
      </c>
      <c r="K253" s="4">
        <f>IF(OR(A253="",B253=""),"",共通設定!$B$4&amp;"/"&amp;A253&amp;"_c"&amp;TEXT(B253,"00"))</f>
        <v/>
      </c>
      <c r="L253" s="4">
        <f>IF(IFERROR(VLOOKUP(C253,キャラ!$A:$E,4,FALSE),"")="","",IFERROR(VLOOKUP(C253,キャラ!$A:$E,4,FALSE),"")&amp;"（"&amp;IF(D253="",IFERROR(VLOOKUP(C253,キャラ!$A:$E,5,FALSE),""),0.5)&amp;"）")&amp;IF(IFERROR(VLOOKUP(D253,キャラ!$A:$E,4,FALSE),"")="",""," / "&amp;IFERROR(VLOOKUP(D253,キャラ!$A:$E,4,FALSE),"")&amp;"（0.5）")</f>
        <v/>
      </c>
      <c r="M253" s="3" t="n"/>
      <c r="N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4">
        <f>IF(AND(C254="",F254=""),"",_xlfn.TEXTJOIN(", ",TRUE,共通設定!$B$2,E254,IFERROR(VLOOKUP(C254,キャラ!$A:$E,2,FALSE),""),IFERROR(VLOOKUP(C254,キャラ!$A:$E,3,FALSE),""),IFERROR(VLOOKUP(D254,キャラ!$A:$E,2,FALSE),""),IFERROR(VLOOKUP(D254,キャラ!$A:$E,3,FALSE),""),F254,G254,H254,I254))</f>
        <v/>
      </c>
      <c r="K254" s="4">
        <f>IF(OR(A254="",B254=""),"",共通設定!$B$4&amp;"/"&amp;A254&amp;"_c"&amp;TEXT(B254,"00"))</f>
        <v/>
      </c>
      <c r="L254" s="4">
        <f>IF(IFERROR(VLOOKUP(C254,キャラ!$A:$E,4,FALSE),"")="","",IFERROR(VLOOKUP(C254,キャラ!$A:$E,4,FALSE),"")&amp;"（"&amp;IF(D254="",IFERROR(VLOOKUP(C254,キャラ!$A:$E,5,FALSE),""),0.5)&amp;"）")&amp;IF(IFERROR(VLOOKUP(D254,キャラ!$A:$E,4,FALSE),"")="",""," / "&amp;IFERROR(VLOOKUP(D254,キャラ!$A:$E,4,FALSE),"")&amp;"（0.5）")</f>
        <v/>
      </c>
      <c r="M254" s="3" t="n"/>
      <c r="N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4">
        <f>IF(AND(C255="",F255=""),"",_xlfn.TEXTJOIN(", ",TRUE,共通設定!$B$2,E255,IFERROR(VLOOKUP(C255,キャラ!$A:$E,2,FALSE),""),IFERROR(VLOOKUP(C255,キャラ!$A:$E,3,FALSE),""),IFERROR(VLOOKUP(D255,キャラ!$A:$E,2,FALSE),""),IFERROR(VLOOKUP(D255,キャラ!$A:$E,3,FALSE),""),F255,G255,H255,I255))</f>
        <v/>
      </c>
      <c r="K255" s="4">
        <f>IF(OR(A255="",B255=""),"",共通設定!$B$4&amp;"/"&amp;A255&amp;"_c"&amp;TEXT(B255,"00"))</f>
        <v/>
      </c>
      <c r="L255" s="4">
        <f>IF(IFERROR(VLOOKUP(C255,キャラ!$A:$E,4,FALSE),"")="","",IFERROR(VLOOKUP(C255,キャラ!$A:$E,4,FALSE),"")&amp;"（"&amp;IF(D255="",IFERROR(VLOOKUP(C255,キャラ!$A:$E,5,FALSE),""),0.5)&amp;"）")&amp;IF(IFERROR(VLOOKUP(D255,キャラ!$A:$E,4,FALSE),"")="",""," / "&amp;IFERROR(VLOOKUP(D255,キャラ!$A:$E,4,FALSE),"")&amp;"（0.5）")</f>
        <v/>
      </c>
      <c r="M255" s="3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4">
        <f>IF(AND(C256="",F256=""),"",_xlfn.TEXTJOIN(", ",TRUE,共通設定!$B$2,E256,IFERROR(VLOOKUP(C256,キャラ!$A:$E,2,FALSE),""),IFERROR(VLOOKUP(C256,キャラ!$A:$E,3,FALSE),""),IFERROR(VLOOKUP(D256,キャラ!$A:$E,2,FALSE),""),IFERROR(VLOOKUP(D256,キャラ!$A:$E,3,FALSE),""),F256,G256,H256,I256))</f>
        <v/>
      </c>
      <c r="K256" s="4">
        <f>IF(OR(A256="",B256=""),"",共通設定!$B$4&amp;"/"&amp;A256&amp;"_c"&amp;TEXT(B256,"00"))</f>
        <v/>
      </c>
      <c r="L256" s="4">
        <f>IF(IFERROR(VLOOKUP(C256,キャラ!$A:$E,4,FALSE),"")="","",IFERROR(VLOOKUP(C256,キャラ!$A:$E,4,FALSE),"")&amp;"（"&amp;IF(D256="",IFERROR(VLOOKUP(C256,キャラ!$A:$E,5,FALSE),""),0.5)&amp;"）")&amp;IF(IFERROR(VLOOKUP(D256,キャラ!$A:$E,4,FALSE),"")="",""," / "&amp;IFERROR(VLOOKUP(D256,キャラ!$A:$E,4,FALSE),"")&amp;"（0.5）")</f>
        <v/>
      </c>
      <c r="M256" s="3" t="n"/>
      <c r="N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4">
        <f>IF(AND(C257="",F257=""),"",_xlfn.TEXTJOIN(", ",TRUE,共通設定!$B$2,E257,IFERROR(VLOOKUP(C257,キャラ!$A:$E,2,FALSE),""),IFERROR(VLOOKUP(C257,キャラ!$A:$E,3,FALSE),""),IFERROR(VLOOKUP(D257,キャラ!$A:$E,2,FALSE),""),IFERROR(VLOOKUP(D257,キャラ!$A:$E,3,FALSE),""),F257,G257,H257,I257))</f>
        <v/>
      </c>
      <c r="K257" s="4">
        <f>IF(OR(A257="",B257=""),"",共通設定!$B$4&amp;"/"&amp;A257&amp;"_c"&amp;TEXT(B257,"00"))</f>
        <v/>
      </c>
      <c r="L257" s="4">
        <f>IF(IFERROR(VLOOKUP(C257,キャラ!$A:$E,4,FALSE),"")="","",IFERROR(VLOOKUP(C257,キャラ!$A:$E,4,FALSE),"")&amp;"（"&amp;IF(D257="",IFERROR(VLOOKUP(C257,キャラ!$A:$E,5,FALSE),""),0.5)&amp;"）")&amp;IF(IFERROR(VLOOKUP(D257,キャラ!$A:$E,4,FALSE),"")="",""," / "&amp;IFERROR(VLOOKUP(D257,キャラ!$A:$E,4,FALSE),"")&amp;"（0.5）")</f>
        <v/>
      </c>
      <c r="M257" s="3" t="n"/>
      <c r="N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4">
        <f>IF(AND(C258="",F258=""),"",_xlfn.TEXTJOIN(", ",TRUE,共通設定!$B$2,E258,IFERROR(VLOOKUP(C258,キャラ!$A:$E,2,FALSE),""),IFERROR(VLOOKUP(C258,キャラ!$A:$E,3,FALSE),""),IFERROR(VLOOKUP(D258,キャラ!$A:$E,2,FALSE),""),IFERROR(VLOOKUP(D258,キャラ!$A:$E,3,FALSE),""),F258,G258,H258,I258))</f>
        <v/>
      </c>
      <c r="K258" s="4">
        <f>IF(OR(A258="",B258=""),"",共通設定!$B$4&amp;"/"&amp;A258&amp;"_c"&amp;TEXT(B258,"00"))</f>
        <v/>
      </c>
      <c r="L258" s="4">
        <f>IF(IFERROR(VLOOKUP(C258,キャラ!$A:$E,4,FALSE),"")="","",IFERROR(VLOOKUP(C258,キャラ!$A:$E,4,FALSE),"")&amp;"（"&amp;IF(D258="",IFERROR(VLOOKUP(C258,キャラ!$A:$E,5,FALSE),""),0.5)&amp;"）")&amp;IF(IFERROR(VLOOKUP(D258,キャラ!$A:$E,4,FALSE),"")="",""," / "&amp;IFERROR(VLOOKUP(D258,キャラ!$A:$E,4,FALSE),"")&amp;"（0.5）")</f>
        <v/>
      </c>
      <c r="M258" s="3" t="n"/>
      <c r="N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4">
        <f>IF(AND(C259="",F259=""),"",_xlfn.TEXTJOIN(", ",TRUE,共通設定!$B$2,E259,IFERROR(VLOOKUP(C259,キャラ!$A:$E,2,FALSE),""),IFERROR(VLOOKUP(C259,キャラ!$A:$E,3,FALSE),""),IFERROR(VLOOKUP(D259,キャラ!$A:$E,2,FALSE),""),IFERROR(VLOOKUP(D259,キャラ!$A:$E,3,FALSE),""),F259,G259,H259,I259))</f>
        <v/>
      </c>
      <c r="K259" s="4">
        <f>IF(OR(A259="",B259=""),"",共通設定!$B$4&amp;"/"&amp;A259&amp;"_c"&amp;TEXT(B259,"00"))</f>
        <v/>
      </c>
      <c r="L259" s="4">
        <f>IF(IFERROR(VLOOKUP(C259,キャラ!$A:$E,4,FALSE),"")="","",IFERROR(VLOOKUP(C259,キャラ!$A:$E,4,FALSE),"")&amp;"（"&amp;IF(D259="",IFERROR(VLOOKUP(C259,キャラ!$A:$E,5,FALSE),""),0.5)&amp;"）")&amp;IF(IFERROR(VLOOKUP(D259,キャラ!$A:$E,4,FALSE),"")="",""," / "&amp;IFERROR(VLOOKUP(D259,キャラ!$A:$E,4,FALSE),"")&amp;"（0.5）")</f>
        <v/>
      </c>
      <c r="M259" s="3" t="n"/>
      <c r="N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4">
        <f>IF(AND(C260="",F260=""),"",_xlfn.TEXTJOIN(", ",TRUE,共通設定!$B$2,E260,IFERROR(VLOOKUP(C260,キャラ!$A:$E,2,FALSE),""),IFERROR(VLOOKUP(C260,キャラ!$A:$E,3,FALSE),""),IFERROR(VLOOKUP(D260,キャラ!$A:$E,2,FALSE),""),IFERROR(VLOOKUP(D260,キャラ!$A:$E,3,FALSE),""),F260,G260,H260,I260))</f>
        <v/>
      </c>
      <c r="K260" s="4">
        <f>IF(OR(A260="",B260=""),"",共通設定!$B$4&amp;"/"&amp;A260&amp;"_c"&amp;TEXT(B260,"00"))</f>
        <v/>
      </c>
      <c r="L260" s="4">
        <f>IF(IFERROR(VLOOKUP(C260,キャラ!$A:$E,4,FALSE),"")="","",IFERROR(VLOOKUP(C260,キャラ!$A:$E,4,FALSE),"")&amp;"（"&amp;IF(D260="",IFERROR(VLOOKUP(C260,キャラ!$A:$E,5,FALSE),""),0.5)&amp;"）")&amp;IF(IFERROR(VLOOKUP(D260,キャラ!$A:$E,4,FALSE),"")="",""," / "&amp;IFERROR(VLOOKUP(D260,キャラ!$A:$E,4,FALSE),"")&amp;"（0.5）")</f>
        <v/>
      </c>
      <c r="M260" s="3" t="n"/>
      <c r="N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4">
        <f>IF(AND(C261="",F261=""),"",_xlfn.TEXTJOIN(", ",TRUE,共通設定!$B$2,E261,IFERROR(VLOOKUP(C261,キャラ!$A:$E,2,FALSE),""),IFERROR(VLOOKUP(C261,キャラ!$A:$E,3,FALSE),""),IFERROR(VLOOKUP(D261,キャラ!$A:$E,2,FALSE),""),IFERROR(VLOOKUP(D261,キャラ!$A:$E,3,FALSE),""),F261,G261,H261,I261))</f>
        <v/>
      </c>
      <c r="K261" s="4">
        <f>IF(OR(A261="",B261=""),"",共通設定!$B$4&amp;"/"&amp;A261&amp;"_c"&amp;TEXT(B261,"00"))</f>
        <v/>
      </c>
      <c r="L261" s="4">
        <f>IF(IFERROR(VLOOKUP(C261,キャラ!$A:$E,4,FALSE),"")="","",IFERROR(VLOOKUP(C261,キャラ!$A:$E,4,FALSE),"")&amp;"（"&amp;IF(D261="",IFERROR(VLOOKUP(C261,キャラ!$A:$E,5,FALSE),""),0.5)&amp;"）")&amp;IF(IFERROR(VLOOKUP(D261,キャラ!$A:$E,4,FALSE),"")="",""," / "&amp;IFERROR(VLOOKUP(D261,キャラ!$A:$E,4,FALSE),"")&amp;"（0.5）")</f>
        <v/>
      </c>
      <c r="M261" s="3" t="n"/>
      <c r="N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4">
        <f>IF(AND(C262="",F262=""),"",_xlfn.TEXTJOIN(", ",TRUE,共通設定!$B$2,E262,IFERROR(VLOOKUP(C262,キャラ!$A:$E,2,FALSE),""),IFERROR(VLOOKUP(C262,キャラ!$A:$E,3,FALSE),""),IFERROR(VLOOKUP(D262,キャラ!$A:$E,2,FALSE),""),IFERROR(VLOOKUP(D262,キャラ!$A:$E,3,FALSE),""),F262,G262,H262,I262))</f>
        <v/>
      </c>
      <c r="K262" s="4">
        <f>IF(OR(A262="",B262=""),"",共通設定!$B$4&amp;"/"&amp;A262&amp;"_c"&amp;TEXT(B262,"00"))</f>
        <v/>
      </c>
      <c r="L262" s="4">
        <f>IF(IFERROR(VLOOKUP(C262,キャラ!$A:$E,4,FALSE),"")="","",IFERROR(VLOOKUP(C262,キャラ!$A:$E,4,FALSE),"")&amp;"（"&amp;IF(D262="",IFERROR(VLOOKUP(C262,キャラ!$A:$E,5,FALSE),""),0.5)&amp;"）")&amp;IF(IFERROR(VLOOKUP(D262,キャラ!$A:$E,4,FALSE),"")="",""," / "&amp;IFERROR(VLOOKUP(D262,キャラ!$A:$E,4,FALSE),"")&amp;"（0.5）")</f>
        <v/>
      </c>
      <c r="M262" s="3" t="n"/>
      <c r="N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4">
        <f>IF(AND(C263="",F263=""),"",_xlfn.TEXTJOIN(", ",TRUE,共通設定!$B$2,E263,IFERROR(VLOOKUP(C263,キャラ!$A:$E,2,FALSE),""),IFERROR(VLOOKUP(C263,キャラ!$A:$E,3,FALSE),""),IFERROR(VLOOKUP(D263,キャラ!$A:$E,2,FALSE),""),IFERROR(VLOOKUP(D263,キャラ!$A:$E,3,FALSE),""),F263,G263,H263,I263))</f>
        <v/>
      </c>
      <c r="K263" s="4">
        <f>IF(OR(A263="",B263=""),"",共通設定!$B$4&amp;"/"&amp;A263&amp;"_c"&amp;TEXT(B263,"00"))</f>
        <v/>
      </c>
      <c r="L263" s="4">
        <f>IF(IFERROR(VLOOKUP(C263,キャラ!$A:$E,4,FALSE),"")="","",IFERROR(VLOOKUP(C263,キャラ!$A:$E,4,FALSE),"")&amp;"（"&amp;IF(D263="",IFERROR(VLOOKUP(C263,キャラ!$A:$E,5,FALSE),""),0.5)&amp;"）")&amp;IF(IFERROR(VLOOKUP(D263,キャラ!$A:$E,4,FALSE),"")="",""," / "&amp;IFERROR(VLOOKUP(D263,キャラ!$A:$E,4,FALSE),"")&amp;"（0.5）")</f>
        <v/>
      </c>
      <c r="M263" s="3" t="n"/>
      <c r="N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4">
        <f>IF(AND(C264="",F264=""),"",_xlfn.TEXTJOIN(", ",TRUE,共通設定!$B$2,E264,IFERROR(VLOOKUP(C264,キャラ!$A:$E,2,FALSE),""),IFERROR(VLOOKUP(C264,キャラ!$A:$E,3,FALSE),""),IFERROR(VLOOKUP(D264,キャラ!$A:$E,2,FALSE),""),IFERROR(VLOOKUP(D264,キャラ!$A:$E,3,FALSE),""),F264,G264,H264,I264))</f>
        <v/>
      </c>
      <c r="K264" s="4">
        <f>IF(OR(A264="",B264=""),"",共通設定!$B$4&amp;"/"&amp;A264&amp;"_c"&amp;TEXT(B264,"00"))</f>
        <v/>
      </c>
      <c r="L264" s="4">
        <f>IF(IFERROR(VLOOKUP(C264,キャラ!$A:$E,4,FALSE),"")="","",IFERROR(VLOOKUP(C264,キャラ!$A:$E,4,FALSE),"")&amp;"（"&amp;IF(D264="",IFERROR(VLOOKUP(C264,キャラ!$A:$E,5,FALSE),""),0.5)&amp;"）")&amp;IF(IFERROR(VLOOKUP(D264,キャラ!$A:$E,4,FALSE),"")="",""," / "&amp;IFERROR(VLOOKUP(D264,キャラ!$A:$E,4,FALSE),"")&amp;"（0.5）")</f>
        <v/>
      </c>
      <c r="M264" s="3" t="n"/>
      <c r="N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4">
        <f>IF(AND(C265="",F265=""),"",_xlfn.TEXTJOIN(", ",TRUE,共通設定!$B$2,E265,IFERROR(VLOOKUP(C265,キャラ!$A:$E,2,FALSE),""),IFERROR(VLOOKUP(C265,キャラ!$A:$E,3,FALSE),""),IFERROR(VLOOKUP(D265,キャラ!$A:$E,2,FALSE),""),IFERROR(VLOOKUP(D265,キャラ!$A:$E,3,FALSE),""),F265,G265,H265,I265))</f>
        <v/>
      </c>
      <c r="K265" s="4">
        <f>IF(OR(A265="",B265=""),"",共通設定!$B$4&amp;"/"&amp;A265&amp;"_c"&amp;TEXT(B265,"00"))</f>
        <v/>
      </c>
      <c r="L265" s="4">
        <f>IF(IFERROR(VLOOKUP(C265,キャラ!$A:$E,4,FALSE),"")="","",IFERROR(VLOOKUP(C265,キャラ!$A:$E,4,FALSE),"")&amp;"（"&amp;IF(D265="",IFERROR(VLOOKUP(C265,キャラ!$A:$E,5,FALSE),""),0.5)&amp;"）")&amp;IF(IFERROR(VLOOKUP(D265,キャラ!$A:$E,4,FALSE),"")="",""," / "&amp;IFERROR(VLOOKUP(D265,キャラ!$A:$E,4,FALSE),"")&amp;"（0.5）")</f>
        <v/>
      </c>
      <c r="M265" s="3" t="n"/>
      <c r="N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4">
        <f>IF(AND(C266="",F266=""),"",_xlfn.TEXTJOIN(", ",TRUE,共通設定!$B$2,E266,IFERROR(VLOOKUP(C266,キャラ!$A:$E,2,FALSE),""),IFERROR(VLOOKUP(C266,キャラ!$A:$E,3,FALSE),""),IFERROR(VLOOKUP(D266,キャラ!$A:$E,2,FALSE),""),IFERROR(VLOOKUP(D266,キャラ!$A:$E,3,FALSE),""),F266,G266,H266,I266))</f>
        <v/>
      </c>
      <c r="K266" s="4">
        <f>IF(OR(A266="",B266=""),"",共通設定!$B$4&amp;"/"&amp;A266&amp;"_c"&amp;TEXT(B266,"00"))</f>
        <v/>
      </c>
      <c r="L266" s="4">
        <f>IF(IFERROR(VLOOKUP(C266,キャラ!$A:$E,4,FALSE),"")="","",IFERROR(VLOOKUP(C266,キャラ!$A:$E,4,FALSE),"")&amp;"（"&amp;IF(D266="",IFERROR(VLOOKUP(C266,キャラ!$A:$E,5,FALSE),""),0.5)&amp;"）")&amp;IF(IFERROR(VLOOKUP(D266,キャラ!$A:$E,4,FALSE),"")="",""," / "&amp;IFERROR(VLOOKUP(D266,キャラ!$A:$E,4,FALSE),"")&amp;"（0.5）")</f>
        <v/>
      </c>
      <c r="M266" s="3" t="n"/>
      <c r="N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4">
        <f>IF(AND(C267="",F267=""),"",_xlfn.TEXTJOIN(", ",TRUE,共通設定!$B$2,E267,IFERROR(VLOOKUP(C267,キャラ!$A:$E,2,FALSE),""),IFERROR(VLOOKUP(C267,キャラ!$A:$E,3,FALSE),""),IFERROR(VLOOKUP(D267,キャラ!$A:$E,2,FALSE),""),IFERROR(VLOOKUP(D267,キャラ!$A:$E,3,FALSE),""),F267,G267,H267,I267))</f>
        <v/>
      </c>
      <c r="K267" s="4">
        <f>IF(OR(A267="",B267=""),"",共通設定!$B$4&amp;"/"&amp;A267&amp;"_c"&amp;TEXT(B267,"00"))</f>
        <v/>
      </c>
      <c r="L267" s="4">
        <f>IF(IFERROR(VLOOKUP(C267,キャラ!$A:$E,4,FALSE),"")="","",IFERROR(VLOOKUP(C267,キャラ!$A:$E,4,FALSE),"")&amp;"（"&amp;IF(D267="",IFERROR(VLOOKUP(C267,キャラ!$A:$E,5,FALSE),""),0.5)&amp;"）")&amp;IF(IFERROR(VLOOKUP(D267,キャラ!$A:$E,4,FALSE),"")="",""," / "&amp;IFERROR(VLOOKUP(D267,キャラ!$A:$E,4,FALSE),"")&amp;"（0.5）")</f>
        <v/>
      </c>
      <c r="M267" s="3" t="n"/>
      <c r="N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4">
        <f>IF(AND(C268="",F268=""),"",_xlfn.TEXTJOIN(", ",TRUE,共通設定!$B$2,E268,IFERROR(VLOOKUP(C268,キャラ!$A:$E,2,FALSE),""),IFERROR(VLOOKUP(C268,キャラ!$A:$E,3,FALSE),""),IFERROR(VLOOKUP(D268,キャラ!$A:$E,2,FALSE),""),IFERROR(VLOOKUP(D268,キャラ!$A:$E,3,FALSE),""),F268,G268,H268,I268))</f>
        <v/>
      </c>
      <c r="K268" s="4">
        <f>IF(OR(A268="",B268=""),"",共通設定!$B$4&amp;"/"&amp;A268&amp;"_c"&amp;TEXT(B268,"00"))</f>
        <v/>
      </c>
      <c r="L268" s="4">
        <f>IF(IFERROR(VLOOKUP(C268,キャラ!$A:$E,4,FALSE),"")="","",IFERROR(VLOOKUP(C268,キャラ!$A:$E,4,FALSE),"")&amp;"（"&amp;IF(D268="",IFERROR(VLOOKUP(C268,キャラ!$A:$E,5,FALSE),""),0.5)&amp;"）")&amp;IF(IFERROR(VLOOKUP(D268,キャラ!$A:$E,4,FALSE),"")="",""," / "&amp;IFERROR(VLOOKUP(D268,キャラ!$A:$E,4,FALSE),"")&amp;"（0.5）")</f>
        <v/>
      </c>
      <c r="M268" s="3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4">
        <f>IF(AND(C269="",F269=""),"",_xlfn.TEXTJOIN(", ",TRUE,共通設定!$B$2,E269,IFERROR(VLOOKUP(C269,キャラ!$A:$E,2,FALSE),""),IFERROR(VLOOKUP(C269,キャラ!$A:$E,3,FALSE),""),IFERROR(VLOOKUP(D269,キャラ!$A:$E,2,FALSE),""),IFERROR(VLOOKUP(D269,キャラ!$A:$E,3,FALSE),""),F269,G269,H269,I269))</f>
        <v/>
      </c>
      <c r="K269" s="4">
        <f>IF(OR(A269="",B269=""),"",共通設定!$B$4&amp;"/"&amp;A269&amp;"_c"&amp;TEXT(B269,"00"))</f>
        <v/>
      </c>
      <c r="L269" s="4">
        <f>IF(IFERROR(VLOOKUP(C269,キャラ!$A:$E,4,FALSE),"")="","",IFERROR(VLOOKUP(C269,キャラ!$A:$E,4,FALSE),"")&amp;"（"&amp;IF(D269="",IFERROR(VLOOKUP(C269,キャラ!$A:$E,5,FALSE),""),0.5)&amp;"）")&amp;IF(IFERROR(VLOOKUP(D269,キャラ!$A:$E,4,FALSE),"")="",""," / "&amp;IFERROR(VLOOKUP(D269,キャラ!$A:$E,4,FALSE),"")&amp;"（0.5）")</f>
        <v/>
      </c>
      <c r="M269" s="3" t="n"/>
      <c r="N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4">
        <f>IF(AND(C270="",F270=""),"",_xlfn.TEXTJOIN(", ",TRUE,共通設定!$B$2,E270,IFERROR(VLOOKUP(C270,キャラ!$A:$E,2,FALSE),""),IFERROR(VLOOKUP(C270,キャラ!$A:$E,3,FALSE),""),IFERROR(VLOOKUP(D270,キャラ!$A:$E,2,FALSE),""),IFERROR(VLOOKUP(D270,キャラ!$A:$E,3,FALSE),""),F270,G270,H270,I270))</f>
        <v/>
      </c>
      <c r="K270" s="4">
        <f>IF(OR(A270="",B270=""),"",共通設定!$B$4&amp;"/"&amp;A270&amp;"_c"&amp;TEXT(B270,"00"))</f>
        <v/>
      </c>
      <c r="L270" s="4">
        <f>IF(IFERROR(VLOOKUP(C270,キャラ!$A:$E,4,FALSE),"")="","",IFERROR(VLOOKUP(C270,キャラ!$A:$E,4,FALSE),"")&amp;"（"&amp;IF(D270="",IFERROR(VLOOKUP(C270,キャラ!$A:$E,5,FALSE),""),0.5)&amp;"）")&amp;IF(IFERROR(VLOOKUP(D270,キャラ!$A:$E,4,FALSE),"")="",""," / "&amp;IFERROR(VLOOKUP(D270,キャラ!$A:$E,4,FALSE),"")&amp;"（0.5）")</f>
        <v/>
      </c>
      <c r="M270" s="3" t="n"/>
      <c r="N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4">
        <f>IF(AND(C271="",F271=""),"",_xlfn.TEXTJOIN(", ",TRUE,共通設定!$B$2,E271,IFERROR(VLOOKUP(C271,キャラ!$A:$E,2,FALSE),""),IFERROR(VLOOKUP(C271,キャラ!$A:$E,3,FALSE),""),IFERROR(VLOOKUP(D271,キャラ!$A:$E,2,FALSE),""),IFERROR(VLOOKUP(D271,キャラ!$A:$E,3,FALSE),""),F271,G271,H271,I271))</f>
        <v/>
      </c>
      <c r="K271" s="4">
        <f>IF(OR(A271="",B271=""),"",共通設定!$B$4&amp;"/"&amp;A271&amp;"_c"&amp;TEXT(B271,"00"))</f>
        <v/>
      </c>
      <c r="L271" s="4">
        <f>IF(IFERROR(VLOOKUP(C271,キャラ!$A:$E,4,FALSE),"")="","",IFERROR(VLOOKUP(C271,キャラ!$A:$E,4,FALSE),"")&amp;"（"&amp;IF(D271="",IFERROR(VLOOKUP(C271,キャラ!$A:$E,5,FALSE),""),0.5)&amp;"）")&amp;IF(IFERROR(VLOOKUP(D271,キャラ!$A:$E,4,FALSE),"")="",""," / "&amp;IFERROR(VLOOKUP(D271,キャラ!$A:$E,4,FALSE),"")&amp;"（0.5）")</f>
        <v/>
      </c>
      <c r="M271" s="3" t="n"/>
      <c r="N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4">
        <f>IF(AND(C272="",F272=""),"",_xlfn.TEXTJOIN(", ",TRUE,共通設定!$B$2,E272,IFERROR(VLOOKUP(C272,キャラ!$A:$E,2,FALSE),""),IFERROR(VLOOKUP(C272,キャラ!$A:$E,3,FALSE),""),IFERROR(VLOOKUP(D272,キャラ!$A:$E,2,FALSE),""),IFERROR(VLOOKUP(D272,キャラ!$A:$E,3,FALSE),""),F272,G272,H272,I272))</f>
        <v/>
      </c>
      <c r="K272" s="4">
        <f>IF(OR(A272="",B272=""),"",共通設定!$B$4&amp;"/"&amp;A272&amp;"_c"&amp;TEXT(B272,"00"))</f>
        <v/>
      </c>
      <c r="L272" s="4">
        <f>IF(IFERROR(VLOOKUP(C272,キャラ!$A:$E,4,FALSE),"")="","",IFERROR(VLOOKUP(C272,キャラ!$A:$E,4,FALSE),"")&amp;"（"&amp;IF(D272="",IFERROR(VLOOKUP(C272,キャラ!$A:$E,5,FALSE),""),0.5)&amp;"）")&amp;IF(IFERROR(VLOOKUP(D272,キャラ!$A:$E,4,FALSE),"")="",""," / "&amp;IFERROR(VLOOKUP(D272,キャラ!$A:$E,4,FALSE),"")&amp;"（0.5）")</f>
        <v/>
      </c>
      <c r="M272" s="3" t="n"/>
      <c r="N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4">
        <f>IF(AND(C273="",F273=""),"",_xlfn.TEXTJOIN(", ",TRUE,共通設定!$B$2,E273,IFERROR(VLOOKUP(C273,キャラ!$A:$E,2,FALSE),""),IFERROR(VLOOKUP(C273,キャラ!$A:$E,3,FALSE),""),IFERROR(VLOOKUP(D273,キャラ!$A:$E,2,FALSE),""),IFERROR(VLOOKUP(D273,キャラ!$A:$E,3,FALSE),""),F273,G273,H273,I273))</f>
        <v/>
      </c>
      <c r="K273" s="4">
        <f>IF(OR(A273="",B273=""),"",共通設定!$B$4&amp;"/"&amp;A273&amp;"_c"&amp;TEXT(B273,"00"))</f>
        <v/>
      </c>
      <c r="L273" s="4">
        <f>IF(IFERROR(VLOOKUP(C273,キャラ!$A:$E,4,FALSE),"")="","",IFERROR(VLOOKUP(C273,キャラ!$A:$E,4,FALSE),"")&amp;"（"&amp;IF(D273="",IFERROR(VLOOKUP(C273,キャラ!$A:$E,5,FALSE),""),0.5)&amp;"）")&amp;IF(IFERROR(VLOOKUP(D273,キャラ!$A:$E,4,FALSE),"")="",""," / "&amp;IFERROR(VLOOKUP(D273,キャラ!$A:$E,4,FALSE),"")&amp;"（0.5）")</f>
        <v/>
      </c>
      <c r="M273" s="3" t="n"/>
      <c r="N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4">
        <f>IF(AND(C274="",F274=""),"",_xlfn.TEXTJOIN(", ",TRUE,共通設定!$B$2,E274,IFERROR(VLOOKUP(C274,キャラ!$A:$E,2,FALSE),""),IFERROR(VLOOKUP(C274,キャラ!$A:$E,3,FALSE),""),IFERROR(VLOOKUP(D274,キャラ!$A:$E,2,FALSE),""),IFERROR(VLOOKUP(D274,キャラ!$A:$E,3,FALSE),""),F274,G274,H274,I274))</f>
        <v/>
      </c>
      <c r="K274" s="4">
        <f>IF(OR(A274="",B274=""),"",共通設定!$B$4&amp;"/"&amp;A274&amp;"_c"&amp;TEXT(B274,"00"))</f>
        <v/>
      </c>
      <c r="L274" s="4">
        <f>IF(IFERROR(VLOOKUP(C274,キャラ!$A:$E,4,FALSE),"")="","",IFERROR(VLOOKUP(C274,キャラ!$A:$E,4,FALSE),"")&amp;"（"&amp;IF(D274="",IFERROR(VLOOKUP(C274,キャラ!$A:$E,5,FALSE),""),0.5)&amp;"）")&amp;IF(IFERROR(VLOOKUP(D274,キャラ!$A:$E,4,FALSE),"")="",""," / "&amp;IFERROR(VLOOKUP(D274,キャラ!$A:$E,4,FALSE),"")&amp;"（0.5）")</f>
        <v/>
      </c>
      <c r="M274" s="3" t="n"/>
      <c r="N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4">
        <f>IF(AND(C275="",F275=""),"",_xlfn.TEXTJOIN(", ",TRUE,共通設定!$B$2,E275,IFERROR(VLOOKUP(C275,キャラ!$A:$E,2,FALSE),""),IFERROR(VLOOKUP(C275,キャラ!$A:$E,3,FALSE),""),IFERROR(VLOOKUP(D275,キャラ!$A:$E,2,FALSE),""),IFERROR(VLOOKUP(D275,キャラ!$A:$E,3,FALSE),""),F275,G275,H275,I275))</f>
        <v/>
      </c>
      <c r="K275" s="4">
        <f>IF(OR(A275="",B275=""),"",共通設定!$B$4&amp;"/"&amp;A275&amp;"_c"&amp;TEXT(B275,"00"))</f>
        <v/>
      </c>
      <c r="L275" s="4">
        <f>IF(IFERROR(VLOOKUP(C275,キャラ!$A:$E,4,FALSE),"")="","",IFERROR(VLOOKUP(C275,キャラ!$A:$E,4,FALSE),"")&amp;"（"&amp;IF(D275="",IFERROR(VLOOKUP(C275,キャラ!$A:$E,5,FALSE),""),0.5)&amp;"）")&amp;IF(IFERROR(VLOOKUP(D275,キャラ!$A:$E,4,FALSE),"")="",""," / "&amp;IFERROR(VLOOKUP(D275,キャラ!$A:$E,4,FALSE),"")&amp;"（0.5）")</f>
        <v/>
      </c>
      <c r="M275" s="3" t="n"/>
      <c r="N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4">
        <f>IF(AND(C276="",F276=""),"",_xlfn.TEXTJOIN(", ",TRUE,共通設定!$B$2,E276,IFERROR(VLOOKUP(C276,キャラ!$A:$E,2,FALSE),""),IFERROR(VLOOKUP(C276,キャラ!$A:$E,3,FALSE),""),IFERROR(VLOOKUP(D276,キャラ!$A:$E,2,FALSE),""),IFERROR(VLOOKUP(D276,キャラ!$A:$E,3,FALSE),""),F276,G276,H276,I276))</f>
        <v/>
      </c>
      <c r="K276" s="4">
        <f>IF(OR(A276="",B276=""),"",共通設定!$B$4&amp;"/"&amp;A276&amp;"_c"&amp;TEXT(B276,"00"))</f>
        <v/>
      </c>
      <c r="L276" s="4">
        <f>IF(IFERROR(VLOOKUP(C276,キャラ!$A:$E,4,FALSE),"")="","",IFERROR(VLOOKUP(C276,キャラ!$A:$E,4,FALSE),"")&amp;"（"&amp;IF(D276="",IFERROR(VLOOKUP(C276,キャラ!$A:$E,5,FALSE),""),0.5)&amp;"）")&amp;IF(IFERROR(VLOOKUP(D276,キャラ!$A:$E,4,FALSE),"")="",""," / "&amp;IFERROR(VLOOKUP(D276,キャラ!$A:$E,4,FALSE),"")&amp;"（0.5）")</f>
        <v/>
      </c>
      <c r="M276" s="3" t="n"/>
      <c r="N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4">
        <f>IF(AND(C277="",F277=""),"",_xlfn.TEXTJOIN(", ",TRUE,共通設定!$B$2,E277,IFERROR(VLOOKUP(C277,キャラ!$A:$E,2,FALSE),""),IFERROR(VLOOKUP(C277,キャラ!$A:$E,3,FALSE),""),IFERROR(VLOOKUP(D277,キャラ!$A:$E,2,FALSE),""),IFERROR(VLOOKUP(D277,キャラ!$A:$E,3,FALSE),""),F277,G277,H277,I277))</f>
        <v/>
      </c>
      <c r="K277" s="4">
        <f>IF(OR(A277="",B277=""),"",共通設定!$B$4&amp;"/"&amp;A277&amp;"_c"&amp;TEXT(B277,"00"))</f>
        <v/>
      </c>
      <c r="L277" s="4">
        <f>IF(IFERROR(VLOOKUP(C277,キャラ!$A:$E,4,FALSE),"")="","",IFERROR(VLOOKUP(C277,キャラ!$A:$E,4,FALSE),"")&amp;"（"&amp;IF(D277="",IFERROR(VLOOKUP(C277,キャラ!$A:$E,5,FALSE),""),0.5)&amp;"）")&amp;IF(IFERROR(VLOOKUP(D277,キャラ!$A:$E,4,FALSE),"")="",""," / "&amp;IFERROR(VLOOKUP(D277,キャラ!$A:$E,4,FALSE),"")&amp;"（0.5）")</f>
        <v/>
      </c>
      <c r="M277" s="3" t="n"/>
      <c r="N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4">
        <f>IF(AND(C278="",F278=""),"",_xlfn.TEXTJOIN(", ",TRUE,共通設定!$B$2,E278,IFERROR(VLOOKUP(C278,キャラ!$A:$E,2,FALSE),""),IFERROR(VLOOKUP(C278,キャラ!$A:$E,3,FALSE),""),IFERROR(VLOOKUP(D278,キャラ!$A:$E,2,FALSE),""),IFERROR(VLOOKUP(D278,キャラ!$A:$E,3,FALSE),""),F278,G278,H278,I278))</f>
        <v/>
      </c>
      <c r="K278" s="4">
        <f>IF(OR(A278="",B278=""),"",共通設定!$B$4&amp;"/"&amp;A278&amp;"_c"&amp;TEXT(B278,"00"))</f>
        <v/>
      </c>
      <c r="L278" s="4">
        <f>IF(IFERROR(VLOOKUP(C278,キャラ!$A:$E,4,FALSE),"")="","",IFERROR(VLOOKUP(C278,キャラ!$A:$E,4,FALSE),"")&amp;"（"&amp;IF(D278="",IFERROR(VLOOKUP(C278,キャラ!$A:$E,5,FALSE),""),0.5)&amp;"）")&amp;IF(IFERROR(VLOOKUP(D278,キャラ!$A:$E,4,FALSE),"")="",""," / "&amp;IFERROR(VLOOKUP(D278,キャラ!$A:$E,4,FALSE),"")&amp;"（0.5）")</f>
        <v/>
      </c>
      <c r="M278" s="3" t="n"/>
      <c r="N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4">
        <f>IF(AND(C279="",F279=""),"",_xlfn.TEXTJOIN(", ",TRUE,共通設定!$B$2,E279,IFERROR(VLOOKUP(C279,キャラ!$A:$E,2,FALSE),""),IFERROR(VLOOKUP(C279,キャラ!$A:$E,3,FALSE),""),IFERROR(VLOOKUP(D279,キャラ!$A:$E,2,FALSE),""),IFERROR(VLOOKUP(D279,キャラ!$A:$E,3,FALSE),""),F279,G279,H279,I279))</f>
        <v/>
      </c>
      <c r="K279" s="4">
        <f>IF(OR(A279="",B279=""),"",共通設定!$B$4&amp;"/"&amp;A279&amp;"_c"&amp;TEXT(B279,"00"))</f>
        <v/>
      </c>
      <c r="L279" s="4">
        <f>IF(IFERROR(VLOOKUP(C279,キャラ!$A:$E,4,FALSE),"")="","",IFERROR(VLOOKUP(C279,キャラ!$A:$E,4,FALSE),"")&amp;"（"&amp;IF(D279="",IFERROR(VLOOKUP(C279,キャラ!$A:$E,5,FALSE),""),0.5)&amp;"）")&amp;IF(IFERROR(VLOOKUP(D279,キャラ!$A:$E,4,FALSE),"")="",""," / "&amp;IFERROR(VLOOKUP(D279,キャラ!$A:$E,4,FALSE),"")&amp;"（0.5）")</f>
        <v/>
      </c>
      <c r="M279" s="3" t="n"/>
      <c r="N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4">
        <f>IF(AND(C280="",F280=""),"",_xlfn.TEXTJOIN(", ",TRUE,共通設定!$B$2,E280,IFERROR(VLOOKUP(C280,キャラ!$A:$E,2,FALSE),""),IFERROR(VLOOKUP(C280,キャラ!$A:$E,3,FALSE),""),IFERROR(VLOOKUP(D280,キャラ!$A:$E,2,FALSE),""),IFERROR(VLOOKUP(D280,キャラ!$A:$E,3,FALSE),""),F280,G280,H280,I280))</f>
        <v/>
      </c>
      <c r="K280" s="4">
        <f>IF(OR(A280="",B280=""),"",共通設定!$B$4&amp;"/"&amp;A280&amp;"_c"&amp;TEXT(B280,"00"))</f>
        <v/>
      </c>
      <c r="L280" s="4">
        <f>IF(IFERROR(VLOOKUP(C280,キャラ!$A:$E,4,FALSE),"")="","",IFERROR(VLOOKUP(C280,キャラ!$A:$E,4,FALSE),"")&amp;"（"&amp;IF(D280="",IFERROR(VLOOKUP(C280,キャラ!$A:$E,5,FALSE),""),0.5)&amp;"）")&amp;IF(IFERROR(VLOOKUP(D280,キャラ!$A:$E,4,FALSE),"")="",""," / "&amp;IFERROR(VLOOKUP(D280,キャラ!$A:$E,4,FALSE),"")&amp;"（0.5）")</f>
        <v/>
      </c>
      <c r="M280" s="3" t="n"/>
      <c r="N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4">
        <f>IF(AND(C281="",F281=""),"",_xlfn.TEXTJOIN(", ",TRUE,共通設定!$B$2,E281,IFERROR(VLOOKUP(C281,キャラ!$A:$E,2,FALSE),""),IFERROR(VLOOKUP(C281,キャラ!$A:$E,3,FALSE),""),IFERROR(VLOOKUP(D281,キャラ!$A:$E,2,FALSE),""),IFERROR(VLOOKUP(D281,キャラ!$A:$E,3,FALSE),""),F281,G281,H281,I281))</f>
        <v/>
      </c>
      <c r="K281" s="4">
        <f>IF(OR(A281="",B281=""),"",共通設定!$B$4&amp;"/"&amp;A281&amp;"_c"&amp;TEXT(B281,"00"))</f>
        <v/>
      </c>
      <c r="L281" s="4">
        <f>IF(IFERROR(VLOOKUP(C281,キャラ!$A:$E,4,FALSE),"")="","",IFERROR(VLOOKUP(C281,キャラ!$A:$E,4,FALSE),"")&amp;"（"&amp;IF(D281="",IFERROR(VLOOKUP(C281,キャラ!$A:$E,5,FALSE),""),0.5)&amp;"）")&amp;IF(IFERROR(VLOOKUP(D281,キャラ!$A:$E,4,FALSE),"")="",""," / "&amp;IFERROR(VLOOKUP(D281,キャラ!$A:$E,4,FALSE),"")&amp;"（0.5）")</f>
        <v/>
      </c>
      <c r="M281" s="3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4">
        <f>IF(AND(C282="",F282=""),"",_xlfn.TEXTJOIN(", ",TRUE,共通設定!$B$2,E282,IFERROR(VLOOKUP(C282,キャラ!$A:$E,2,FALSE),""),IFERROR(VLOOKUP(C282,キャラ!$A:$E,3,FALSE),""),IFERROR(VLOOKUP(D282,キャラ!$A:$E,2,FALSE),""),IFERROR(VLOOKUP(D282,キャラ!$A:$E,3,FALSE),""),F282,G282,H282,I282))</f>
        <v/>
      </c>
      <c r="K282" s="4">
        <f>IF(OR(A282="",B282=""),"",共通設定!$B$4&amp;"/"&amp;A282&amp;"_c"&amp;TEXT(B282,"00"))</f>
        <v/>
      </c>
      <c r="L282" s="4">
        <f>IF(IFERROR(VLOOKUP(C282,キャラ!$A:$E,4,FALSE),"")="","",IFERROR(VLOOKUP(C282,キャラ!$A:$E,4,FALSE),"")&amp;"（"&amp;IF(D282="",IFERROR(VLOOKUP(C282,キャラ!$A:$E,5,FALSE),""),0.5)&amp;"）")&amp;IF(IFERROR(VLOOKUP(D282,キャラ!$A:$E,4,FALSE),"")="",""," / "&amp;IFERROR(VLOOKUP(D282,キャラ!$A:$E,4,FALSE),"")&amp;"（0.5）")</f>
        <v/>
      </c>
      <c r="M282" s="3" t="n"/>
      <c r="N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4">
        <f>IF(AND(C283="",F283=""),"",_xlfn.TEXTJOIN(", ",TRUE,共通設定!$B$2,E283,IFERROR(VLOOKUP(C283,キャラ!$A:$E,2,FALSE),""),IFERROR(VLOOKUP(C283,キャラ!$A:$E,3,FALSE),""),IFERROR(VLOOKUP(D283,キャラ!$A:$E,2,FALSE),""),IFERROR(VLOOKUP(D283,キャラ!$A:$E,3,FALSE),""),F283,G283,H283,I283))</f>
        <v/>
      </c>
      <c r="K283" s="4">
        <f>IF(OR(A283="",B283=""),"",共通設定!$B$4&amp;"/"&amp;A283&amp;"_c"&amp;TEXT(B283,"00"))</f>
        <v/>
      </c>
      <c r="L283" s="4">
        <f>IF(IFERROR(VLOOKUP(C283,キャラ!$A:$E,4,FALSE),"")="","",IFERROR(VLOOKUP(C283,キャラ!$A:$E,4,FALSE),"")&amp;"（"&amp;IF(D283="",IFERROR(VLOOKUP(C283,キャラ!$A:$E,5,FALSE),""),0.5)&amp;"）")&amp;IF(IFERROR(VLOOKUP(D283,キャラ!$A:$E,4,FALSE),"")="",""," / "&amp;IFERROR(VLOOKUP(D283,キャラ!$A:$E,4,FALSE),"")&amp;"（0.5）")</f>
        <v/>
      </c>
      <c r="M283" s="3" t="n"/>
      <c r="N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4">
        <f>IF(AND(C284="",F284=""),"",_xlfn.TEXTJOIN(", ",TRUE,共通設定!$B$2,E284,IFERROR(VLOOKUP(C284,キャラ!$A:$E,2,FALSE),""),IFERROR(VLOOKUP(C284,キャラ!$A:$E,3,FALSE),""),IFERROR(VLOOKUP(D284,キャラ!$A:$E,2,FALSE),""),IFERROR(VLOOKUP(D284,キャラ!$A:$E,3,FALSE),""),F284,G284,H284,I284))</f>
        <v/>
      </c>
      <c r="K284" s="4">
        <f>IF(OR(A284="",B284=""),"",共通設定!$B$4&amp;"/"&amp;A284&amp;"_c"&amp;TEXT(B284,"00"))</f>
        <v/>
      </c>
      <c r="L284" s="4">
        <f>IF(IFERROR(VLOOKUP(C284,キャラ!$A:$E,4,FALSE),"")="","",IFERROR(VLOOKUP(C284,キャラ!$A:$E,4,FALSE),"")&amp;"（"&amp;IF(D284="",IFERROR(VLOOKUP(C284,キャラ!$A:$E,5,FALSE),""),0.5)&amp;"）")&amp;IF(IFERROR(VLOOKUP(D284,キャラ!$A:$E,4,FALSE),"")="",""," / "&amp;IFERROR(VLOOKUP(D284,キャラ!$A:$E,4,FALSE),"")&amp;"（0.5）")</f>
        <v/>
      </c>
      <c r="M284" s="3" t="n"/>
      <c r="N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4">
        <f>IF(AND(C285="",F285=""),"",_xlfn.TEXTJOIN(", ",TRUE,共通設定!$B$2,E285,IFERROR(VLOOKUP(C285,キャラ!$A:$E,2,FALSE),""),IFERROR(VLOOKUP(C285,キャラ!$A:$E,3,FALSE),""),IFERROR(VLOOKUP(D285,キャラ!$A:$E,2,FALSE),""),IFERROR(VLOOKUP(D285,キャラ!$A:$E,3,FALSE),""),F285,G285,H285,I285))</f>
        <v/>
      </c>
      <c r="K285" s="4">
        <f>IF(OR(A285="",B285=""),"",共通設定!$B$4&amp;"/"&amp;A285&amp;"_c"&amp;TEXT(B285,"00"))</f>
        <v/>
      </c>
      <c r="L285" s="4">
        <f>IF(IFERROR(VLOOKUP(C285,キャラ!$A:$E,4,FALSE),"")="","",IFERROR(VLOOKUP(C285,キャラ!$A:$E,4,FALSE),"")&amp;"（"&amp;IF(D285="",IFERROR(VLOOKUP(C285,キャラ!$A:$E,5,FALSE),""),0.5)&amp;"）")&amp;IF(IFERROR(VLOOKUP(D285,キャラ!$A:$E,4,FALSE),"")="",""," / "&amp;IFERROR(VLOOKUP(D285,キャラ!$A:$E,4,FALSE),"")&amp;"（0.5）")</f>
        <v/>
      </c>
      <c r="M285" s="3" t="n"/>
      <c r="N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4">
        <f>IF(AND(C286="",F286=""),"",_xlfn.TEXTJOIN(", ",TRUE,共通設定!$B$2,E286,IFERROR(VLOOKUP(C286,キャラ!$A:$E,2,FALSE),""),IFERROR(VLOOKUP(C286,キャラ!$A:$E,3,FALSE),""),IFERROR(VLOOKUP(D286,キャラ!$A:$E,2,FALSE),""),IFERROR(VLOOKUP(D286,キャラ!$A:$E,3,FALSE),""),F286,G286,H286,I286))</f>
        <v/>
      </c>
      <c r="K286" s="4">
        <f>IF(OR(A286="",B286=""),"",共通設定!$B$4&amp;"/"&amp;A286&amp;"_c"&amp;TEXT(B286,"00"))</f>
        <v/>
      </c>
      <c r="L286" s="4">
        <f>IF(IFERROR(VLOOKUP(C286,キャラ!$A:$E,4,FALSE),"")="","",IFERROR(VLOOKUP(C286,キャラ!$A:$E,4,FALSE),"")&amp;"（"&amp;IF(D286="",IFERROR(VLOOKUP(C286,キャラ!$A:$E,5,FALSE),""),0.5)&amp;"）")&amp;IF(IFERROR(VLOOKUP(D286,キャラ!$A:$E,4,FALSE),"")="",""," / "&amp;IFERROR(VLOOKUP(D286,キャラ!$A:$E,4,FALSE),"")&amp;"（0.5）")</f>
        <v/>
      </c>
      <c r="M286" s="3" t="n"/>
      <c r="N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4">
        <f>IF(AND(C287="",F287=""),"",_xlfn.TEXTJOIN(", ",TRUE,共通設定!$B$2,E287,IFERROR(VLOOKUP(C287,キャラ!$A:$E,2,FALSE),""),IFERROR(VLOOKUP(C287,キャラ!$A:$E,3,FALSE),""),IFERROR(VLOOKUP(D287,キャラ!$A:$E,2,FALSE),""),IFERROR(VLOOKUP(D287,キャラ!$A:$E,3,FALSE),""),F287,G287,H287,I287))</f>
        <v/>
      </c>
      <c r="K287" s="4">
        <f>IF(OR(A287="",B287=""),"",共通設定!$B$4&amp;"/"&amp;A287&amp;"_c"&amp;TEXT(B287,"00"))</f>
        <v/>
      </c>
      <c r="L287" s="4">
        <f>IF(IFERROR(VLOOKUP(C287,キャラ!$A:$E,4,FALSE),"")="","",IFERROR(VLOOKUP(C287,キャラ!$A:$E,4,FALSE),"")&amp;"（"&amp;IF(D287="",IFERROR(VLOOKUP(C287,キャラ!$A:$E,5,FALSE),""),0.5)&amp;"）")&amp;IF(IFERROR(VLOOKUP(D287,キャラ!$A:$E,4,FALSE),"")="",""," / "&amp;IFERROR(VLOOKUP(D287,キャラ!$A:$E,4,FALSE),"")&amp;"（0.5）")</f>
        <v/>
      </c>
      <c r="M287" s="3" t="n"/>
      <c r="N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4">
        <f>IF(AND(C288="",F288=""),"",_xlfn.TEXTJOIN(", ",TRUE,共通設定!$B$2,E288,IFERROR(VLOOKUP(C288,キャラ!$A:$E,2,FALSE),""),IFERROR(VLOOKUP(C288,キャラ!$A:$E,3,FALSE),""),IFERROR(VLOOKUP(D288,キャラ!$A:$E,2,FALSE),""),IFERROR(VLOOKUP(D288,キャラ!$A:$E,3,FALSE),""),F288,G288,H288,I288))</f>
        <v/>
      </c>
      <c r="K288" s="4">
        <f>IF(OR(A288="",B288=""),"",共通設定!$B$4&amp;"/"&amp;A288&amp;"_c"&amp;TEXT(B288,"00"))</f>
        <v/>
      </c>
      <c r="L288" s="4">
        <f>IF(IFERROR(VLOOKUP(C288,キャラ!$A:$E,4,FALSE),"")="","",IFERROR(VLOOKUP(C288,キャラ!$A:$E,4,FALSE),"")&amp;"（"&amp;IF(D288="",IFERROR(VLOOKUP(C288,キャラ!$A:$E,5,FALSE),""),0.5)&amp;"）")&amp;IF(IFERROR(VLOOKUP(D288,キャラ!$A:$E,4,FALSE),"")="",""," / "&amp;IFERROR(VLOOKUP(D288,キャラ!$A:$E,4,FALSE),"")&amp;"（0.5）")</f>
        <v/>
      </c>
      <c r="M288" s="3" t="n"/>
      <c r="N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4">
        <f>IF(AND(C289="",F289=""),"",_xlfn.TEXTJOIN(", ",TRUE,共通設定!$B$2,E289,IFERROR(VLOOKUP(C289,キャラ!$A:$E,2,FALSE),""),IFERROR(VLOOKUP(C289,キャラ!$A:$E,3,FALSE),""),IFERROR(VLOOKUP(D289,キャラ!$A:$E,2,FALSE),""),IFERROR(VLOOKUP(D289,キャラ!$A:$E,3,FALSE),""),F289,G289,H289,I289))</f>
        <v/>
      </c>
      <c r="K289" s="4">
        <f>IF(OR(A289="",B289=""),"",共通設定!$B$4&amp;"/"&amp;A289&amp;"_c"&amp;TEXT(B289,"00"))</f>
        <v/>
      </c>
      <c r="L289" s="4">
        <f>IF(IFERROR(VLOOKUP(C289,キャラ!$A:$E,4,FALSE),"")="","",IFERROR(VLOOKUP(C289,キャラ!$A:$E,4,FALSE),"")&amp;"（"&amp;IF(D289="",IFERROR(VLOOKUP(C289,キャラ!$A:$E,5,FALSE),""),0.5)&amp;"）")&amp;IF(IFERROR(VLOOKUP(D289,キャラ!$A:$E,4,FALSE),"")="",""," / "&amp;IFERROR(VLOOKUP(D289,キャラ!$A:$E,4,FALSE),"")&amp;"（0.5）")</f>
        <v/>
      </c>
      <c r="M289" s="3" t="n"/>
      <c r="N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4">
        <f>IF(AND(C290="",F290=""),"",_xlfn.TEXTJOIN(", ",TRUE,共通設定!$B$2,E290,IFERROR(VLOOKUP(C290,キャラ!$A:$E,2,FALSE),""),IFERROR(VLOOKUP(C290,キャラ!$A:$E,3,FALSE),""),IFERROR(VLOOKUP(D290,キャラ!$A:$E,2,FALSE),""),IFERROR(VLOOKUP(D290,キャラ!$A:$E,3,FALSE),""),F290,G290,H290,I290))</f>
        <v/>
      </c>
      <c r="K290" s="4">
        <f>IF(OR(A290="",B290=""),"",共通設定!$B$4&amp;"/"&amp;A290&amp;"_c"&amp;TEXT(B290,"00"))</f>
        <v/>
      </c>
      <c r="L290" s="4">
        <f>IF(IFERROR(VLOOKUP(C290,キャラ!$A:$E,4,FALSE),"")="","",IFERROR(VLOOKUP(C290,キャラ!$A:$E,4,FALSE),"")&amp;"（"&amp;IF(D290="",IFERROR(VLOOKUP(C290,キャラ!$A:$E,5,FALSE),""),0.5)&amp;"）")&amp;IF(IFERROR(VLOOKUP(D290,キャラ!$A:$E,4,FALSE),"")="",""," / "&amp;IFERROR(VLOOKUP(D290,キャラ!$A:$E,4,FALSE),"")&amp;"（0.5）")</f>
        <v/>
      </c>
      <c r="M290" s="3" t="n"/>
      <c r="N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4">
        <f>IF(AND(C291="",F291=""),"",_xlfn.TEXTJOIN(", ",TRUE,共通設定!$B$2,E291,IFERROR(VLOOKUP(C291,キャラ!$A:$E,2,FALSE),""),IFERROR(VLOOKUP(C291,キャラ!$A:$E,3,FALSE),""),IFERROR(VLOOKUP(D291,キャラ!$A:$E,2,FALSE),""),IFERROR(VLOOKUP(D291,キャラ!$A:$E,3,FALSE),""),F291,G291,H291,I291))</f>
        <v/>
      </c>
      <c r="K291" s="4">
        <f>IF(OR(A291="",B291=""),"",共通設定!$B$4&amp;"/"&amp;A291&amp;"_c"&amp;TEXT(B291,"00"))</f>
        <v/>
      </c>
      <c r="L291" s="4">
        <f>IF(IFERROR(VLOOKUP(C291,キャラ!$A:$E,4,FALSE),"")="","",IFERROR(VLOOKUP(C291,キャラ!$A:$E,4,FALSE),"")&amp;"（"&amp;IF(D291="",IFERROR(VLOOKUP(C291,キャラ!$A:$E,5,FALSE),""),0.5)&amp;"）")&amp;IF(IFERROR(VLOOKUP(D291,キャラ!$A:$E,4,FALSE),"")="",""," / "&amp;IFERROR(VLOOKUP(D291,キャラ!$A:$E,4,FALSE),"")&amp;"（0.5）")</f>
        <v/>
      </c>
      <c r="M291" s="3" t="n"/>
      <c r="N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4">
        <f>IF(AND(C292="",F292=""),"",_xlfn.TEXTJOIN(", ",TRUE,共通設定!$B$2,E292,IFERROR(VLOOKUP(C292,キャラ!$A:$E,2,FALSE),""),IFERROR(VLOOKUP(C292,キャラ!$A:$E,3,FALSE),""),IFERROR(VLOOKUP(D292,キャラ!$A:$E,2,FALSE),""),IFERROR(VLOOKUP(D292,キャラ!$A:$E,3,FALSE),""),F292,G292,H292,I292))</f>
        <v/>
      </c>
      <c r="K292" s="4">
        <f>IF(OR(A292="",B292=""),"",共通設定!$B$4&amp;"/"&amp;A292&amp;"_c"&amp;TEXT(B292,"00"))</f>
        <v/>
      </c>
      <c r="L292" s="4">
        <f>IF(IFERROR(VLOOKUP(C292,キャラ!$A:$E,4,FALSE),"")="","",IFERROR(VLOOKUP(C292,キャラ!$A:$E,4,FALSE),"")&amp;"（"&amp;IF(D292="",IFERROR(VLOOKUP(C292,キャラ!$A:$E,5,FALSE),""),0.5)&amp;"）")&amp;IF(IFERROR(VLOOKUP(D292,キャラ!$A:$E,4,FALSE),"")="",""," / "&amp;IFERROR(VLOOKUP(D292,キャラ!$A:$E,4,FALSE),"")&amp;"（0.5）")</f>
        <v/>
      </c>
      <c r="M292" s="3" t="n"/>
      <c r="N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4">
        <f>IF(AND(C293="",F293=""),"",_xlfn.TEXTJOIN(", ",TRUE,共通設定!$B$2,E293,IFERROR(VLOOKUP(C293,キャラ!$A:$E,2,FALSE),""),IFERROR(VLOOKUP(C293,キャラ!$A:$E,3,FALSE),""),IFERROR(VLOOKUP(D293,キャラ!$A:$E,2,FALSE),""),IFERROR(VLOOKUP(D293,キャラ!$A:$E,3,FALSE),""),F293,G293,H293,I293))</f>
        <v/>
      </c>
      <c r="K293" s="4">
        <f>IF(OR(A293="",B293=""),"",共通設定!$B$4&amp;"/"&amp;A293&amp;"_c"&amp;TEXT(B293,"00"))</f>
        <v/>
      </c>
      <c r="L293" s="4">
        <f>IF(IFERROR(VLOOKUP(C293,キャラ!$A:$E,4,FALSE),"")="","",IFERROR(VLOOKUP(C293,キャラ!$A:$E,4,FALSE),"")&amp;"（"&amp;IF(D293="",IFERROR(VLOOKUP(C293,キャラ!$A:$E,5,FALSE),""),0.5)&amp;"）")&amp;IF(IFERROR(VLOOKUP(D293,キャラ!$A:$E,4,FALSE),"")="",""," / "&amp;IFERROR(VLOOKUP(D293,キャラ!$A:$E,4,FALSE),"")&amp;"（0.5）")</f>
        <v/>
      </c>
      <c r="M293" s="3" t="n"/>
      <c r="N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4">
        <f>IF(AND(C294="",F294=""),"",_xlfn.TEXTJOIN(", ",TRUE,共通設定!$B$2,E294,IFERROR(VLOOKUP(C294,キャラ!$A:$E,2,FALSE),""),IFERROR(VLOOKUP(C294,キャラ!$A:$E,3,FALSE),""),IFERROR(VLOOKUP(D294,キャラ!$A:$E,2,FALSE),""),IFERROR(VLOOKUP(D294,キャラ!$A:$E,3,FALSE),""),F294,G294,H294,I294))</f>
        <v/>
      </c>
      <c r="K294" s="4">
        <f>IF(OR(A294="",B294=""),"",共通設定!$B$4&amp;"/"&amp;A294&amp;"_c"&amp;TEXT(B294,"00"))</f>
        <v/>
      </c>
      <c r="L294" s="4">
        <f>IF(IFERROR(VLOOKUP(C294,キャラ!$A:$E,4,FALSE),"")="","",IFERROR(VLOOKUP(C294,キャラ!$A:$E,4,FALSE),"")&amp;"（"&amp;IF(D294="",IFERROR(VLOOKUP(C294,キャラ!$A:$E,5,FALSE),""),0.5)&amp;"）")&amp;IF(IFERROR(VLOOKUP(D294,キャラ!$A:$E,4,FALSE),"")="",""," / "&amp;IFERROR(VLOOKUP(D294,キャラ!$A:$E,4,FALSE),"")&amp;"（0.5）")</f>
        <v/>
      </c>
      <c r="M294" s="3" t="n"/>
      <c r="N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4">
        <f>IF(AND(C295="",F295=""),"",_xlfn.TEXTJOIN(", ",TRUE,共通設定!$B$2,E295,IFERROR(VLOOKUP(C295,キャラ!$A:$E,2,FALSE),""),IFERROR(VLOOKUP(C295,キャラ!$A:$E,3,FALSE),""),IFERROR(VLOOKUP(D295,キャラ!$A:$E,2,FALSE),""),IFERROR(VLOOKUP(D295,キャラ!$A:$E,3,FALSE),""),F295,G295,H295,I295))</f>
        <v/>
      </c>
      <c r="K295" s="4">
        <f>IF(OR(A295="",B295=""),"",共通設定!$B$4&amp;"/"&amp;A295&amp;"_c"&amp;TEXT(B295,"00"))</f>
        <v/>
      </c>
      <c r="L295" s="4">
        <f>IF(IFERROR(VLOOKUP(C295,キャラ!$A:$E,4,FALSE),"")="","",IFERROR(VLOOKUP(C295,キャラ!$A:$E,4,FALSE),"")&amp;"（"&amp;IF(D295="",IFERROR(VLOOKUP(C295,キャラ!$A:$E,5,FALSE),""),0.5)&amp;"）")&amp;IF(IFERROR(VLOOKUP(D295,キャラ!$A:$E,4,FALSE),"")="",""," / "&amp;IFERROR(VLOOKUP(D295,キャラ!$A:$E,4,FALSE),"")&amp;"（0.5）")</f>
        <v/>
      </c>
      <c r="M295" s="3" t="n"/>
      <c r="N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4">
        <f>IF(AND(C296="",F296=""),"",_xlfn.TEXTJOIN(", ",TRUE,共通設定!$B$2,E296,IFERROR(VLOOKUP(C296,キャラ!$A:$E,2,FALSE),""),IFERROR(VLOOKUP(C296,キャラ!$A:$E,3,FALSE),""),IFERROR(VLOOKUP(D296,キャラ!$A:$E,2,FALSE),""),IFERROR(VLOOKUP(D296,キャラ!$A:$E,3,FALSE),""),F296,G296,H296,I296))</f>
        <v/>
      </c>
      <c r="K296" s="4">
        <f>IF(OR(A296="",B296=""),"",共通設定!$B$4&amp;"/"&amp;A296&amp;"_c"&amp;TEXT(B296,"00"))</f>
        <v/>
      </c>
      <c r="L296" s="4">
        <f>IF(IFERROR(VLOOKUP(C296,キャラ!$A:$E,4,FALSE),"")="","",IFERROR(VLOOKUP(C296,キャラ!$A:$E,4,FALSE),"")&amp;"（"&amp;IF(D296="",IFERROR(VLOOKUP(C296,キャラ!$A:$E,5,FALSE),""),0.5)&amp;"）")&amp;IF(IFERROR(VLOOKUP(D296,キャラ!$A:$E,4,FALSE),"")="",""," / "&amp;IFERROR(VLOOKUP(D296,キャラ!$A:$E,4,FALSE),"")&amp;"（0.5）")</f>
        <v/>
      </c>
      <c r="M296" s="3" t="n"/>
      <c r="N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4">
        <f>IF(AND(C297="",F297=""),"",_xlfn.TEXTJOIN(", ",TRUE,共通設定!$B$2,E297,IFERROR(VLOOKUP(C297,キャラ!$A:$E,2,FALSE),""),IFERROR(VLOOKUP(C297,キャラ!$A:$E,3,FALSE),""),IFERROR(VLOOKUP(D297,キャラ!$A:$E,2,FALSE),""),IFERROR(VLOOKUP(D297,キャラ!$A:$E,3,FALSE),""),F297,G297,H297,I297))</f>
        <v/>
      </c>
      <c r="K297" s="4">
        <f>IF(OR(A297="",B297=""),"",共通設定!$B$4&amp;"/"&amp;A297&amp;"_c"&amp;TEXT(B297,"00"))</f>
        <v/>
      </c>
      <c r="L297" s="4">
        <f>IF(IFERROR(VLOOKUP(C297,キャラ!$A:$E,4,FALSE),"")="","",IFERROR(VLOOKUP(C297,キャラ!$A:$E,4,FALSE),"")&amp;"（"&amp;IF(D297="",IFERROR(VLOOKUP(C297,キャラ!$A:$E,5,FALSE),""),0.5)&amp;"）")&amp;IF(IFERROR(VLOOKUP(D297,キャラ!$A:$E,4,FALSE),"")="",""," / "&amp;IFERROR(VLOOKUP(D297,キャラ!$A:$E,4,FALSE),"")&amp;"（0.5）")</f>
        <v/>
      </c>
      <c r="M297" s="3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4">
        <f>IF(AND(C298="",F298=""),"",_xlfn.TEXTJOIN(", ",TRUE,共通設定!$B$2,E298,IFERROR(VLOOKUP(C298,キャラ!$A:$E,2,FALSE),""),IFERROR(VLOOKUP(C298,キャラ!$A:$E,3,FALSE),""),IFERROR(VLOOKUP(D298,キャラ!$A:$E,2,FALSE),""),IFERROR(VLOOKUP(D298,キャラ!$A:$E,3,FALSE),""),F298,G298,H298,I298))</f>
        <v/>
      </c>
      <c r="K298" s="4">
        <f>IF(OR(A298="",B298=""),"",共通設定!$B$4&amp;"/"&amp;A298&amp;"_c"&amp;TEXT(B298,"00"))</f>
        <v/>
      </c>
      <c r="L298" s="4">
        <f>IF(IFERROR(VLOOKUP(C298,キャラ!$A:$E,4,FALSE),"")="","",IFERROR(VLOOKUP(C298,キャラ!$A:$E,4,FALSE),"")&amp;"（"&amp;IF(D298="",IFERROR(VLOOKUP(C298,キャラ!$A:$E,5,FALSE),""),0.5)&amp;"）")&amp;IF(IFERROR(VLOOKUP(D298,キャラ!$A:$E,4,FALSE),"")="",""," / "&amp;IFERROR(VLOOKUP(D298,キャラ!$A:$E,4,FALSE),"")&amp;"（0.5）")</f>
        <v/>
      </c>
      <c r="M298" s="3" t="n"/>
      <c r="N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4">
        <f>IF(AND(C299="",F299=""),"",_xlfn.TEXTJOIN(", ",TRUE,共通設定!$B$2,E299,IFERROR(VLOOKUP(C299,キャラ!$A:$E,2,FALSE),""),IFERROR(VLOOKUP(C299,キャラ!$A:$E,3,FALSE),""),IFERROR(VLOOKUP(D299,キャラ!$A:$E,2,FALSE),""),IFERROR(VLOOKUP(D299,キャラ!$A:$E,3,FALSE),""),F299,G299,H299,I299))</f>
        <v/>
      </c>
      <c r="K299" s="4">
        <f>IF(OR(A299="",B299=""),"",共通設定!$B$4&amp;"/"&amp;A299&amp;"_c"&amp;TEXT(B299,"00"))</f>
        <v/>
      </c>
      <c r="L299" s="4">
        <f>IF(IFERROR(VLOOKUP(C299,キャラ!$A:$E,4,FALSE),"")="","",IFERROR(VLOOKUP(C299,キャラ!$A:$E,4,FALSE),"")&amp;"（"&amp;IF(D299="",IFERROR(VLOOKUP(C299,キャラ!$A:$E,5,FALSE),""),0.5)&amp;"）")&amp;IF(IFERROR(VLOOKUP(D299,キャラ!$A:$E,4,FALSE),"")="",""," / "&amp;IFERROR(VLOOKUP(D299,キャラ!$A:$E,4,FALSE),"")&amp;"（0.5）")</f>
        <v/>
      </c>
      <c r="M299" s="3" t="n"/>
      <c r="N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4">
        <f>IF(AND(C300="",F300=""),"",_xlfn.TEXTJOIN(", ",TRUE,共通設定!$B$2,E300,IFERROR(VLOOKUP(C300,キャラ!$A:$E,2,FALSE),""),IFERROR(VLOOKUP(C300,キャラ!$A:$E,3,FALSE),""),IFERROR(VLOOKUP(D300,キャラ!$A:$E,2,FALSE),""),IFERROR(VLOOKUP(D300,キャラ!$A:$E,3,FALSE),""),F300,G300,H300,I300))</f>
        <v/>
      </c>
      <c r="K300" s="4">
        <f>IF(OR(A300="",B300=""),"",共通設定!$B$4&amp;"/"&amp;A300&amp;"_c"&amp;TEXT(B300,"00"))</f>
        <v/>
      </c>
      <c r="L300" s="4">
        <f>IF(IFERROR(VLOOKUP(C300,キャラ!$A:$E,4,FALSE),"")="","",IFERROR(VLOOKUP(C300,キャラ!$A:$E,4,FALSE),"")&amp;"（"&amp;IF(D300="",IFERROR(VLOOKUP(C300,キャラ!$A:$E,5,FALSE),""),0.5)&amp;"）")&amp;IF(IFERROR(VLOOKUP(D300,キャラ!$A:$E,4,FALSE),"")="",""," / "&amp;IFERROR(VLOOKUP(D300,キャラ!$A:$E,4,FALSE),"")&amp;"（0.5）")</f>
        <v/>
      </c>
      <c r="M300" s="3" t="n"/>
      <c r="N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4">
        <f>IF(AND(C301="",F301=""),"",_xlfn.TEXTJOIN(", ",TRUE,共通設定!$B$2,E301,IFERROR(VLOOKUP(C301,キャラ!$A:$E,2,FALSE),""),IFERROR(VLOOKUP(C301,キャラ!$A:$E,3,FALSE),""),IFERROR(VLOOKUP(D301,キャラ!$A:$E,2,FALSE),""),IFERROR(VLOOKUP(D301,キャラ!$A:$E,3,FALSE),""),F301,G301,H301,I301))</f>
        <v/>
      </c>
      <c r="K301" s="4">
        <f>IF(OR(A301="",B301=""),"",共通設定!$B$4&amp;"/"&amp;A301&amp;"_c"&amp;TEXT(B301,"00"))</f>
        <v/>
      </c>
      <c r="L301" s="4">
        <f>IF(IFERROR(VLOOKUP(C301,キャラ!$A:$E,4,FALSE),"")="","",IFERROR(VLOOKUP(C301,キャラ!$A:$E,4,FALSE),"")&amp;"（"&amp;IF(D301="",IFERROR(VLOOKUP(C301,キャラ!$A:$E,5,FALSE),""),0.5)&amp;"）")&amp;IF(IFERROR(VLOOKUP(D301,キャラ!$A:$E,4,FALSE),"")="",""," / "&amp;IFERROR(VLOOKUP(D301,キャラ!$A:$E,4,FALSE),"")&amp;"（0.5）")</f>
        <v/>
      </c>
      <c r="M301" s="3" t="n"/>
      <c r="N301" s="3" t="n"/>
    </row>
  </sheetData>
  <dataValidations count="1">
    <dataValidation sqref="C2:D301" showDropDown="0" showInputMessage="0" showErrorMessage="0" allowBlank="1" type="list">
      <formula1>=キャラ!$A$2:$A$31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2026-10-28T05:20:20Z</dcterms:created>
  <dcterms:modified xsi:type="dcterms:W3CDTF">2026-10-28T05:20:20Z</dcterms:modified>
</cp:coreProperties>
</file>